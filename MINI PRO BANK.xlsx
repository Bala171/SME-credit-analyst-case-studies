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<sst xmlns="http://schemas.openxmlformats.org/spreadsheetml/2006/main" count="162" uniqueCount="127">
  <si>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</si>
  <si>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</si>
  <si>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</si>
  <si>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</si>
  <si>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</si>
  <si>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</si>
  <si>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</si>
  <si>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</si>
  <si>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 xml:space="preserve"> I. INCOME</t>
  </si>
  <si>
    <t>Interest earned</t>
  </si>
  <si>
    <t>Other Income</t>
  </si>
  <si>
    <t>TOTAL</t>
  </si>
  <si>
    <t>II. EXPENDITURE</t>
  </si>
  <si>
    <t>Interest expended</t>
  </si>
  <si>
    <t>Operating expenses</t>
  </si>
  <si>
    <t>Provisions and Contingencies</t>
  </si>
  <si>
    <t>Extraordinary Items</t>
  </si>
  <si>
    <t>-</t>
  </si>
  <si>
    <t>Prior Period Expenditure</t>
  </si>
  <si>
    <t>Net Profit/Net Loss for the year</t>
  </si>
  <si>
    <t>Balance in Profit &amp; Loss Account (Brought Forward)</t>
  </si>
  <si>
    <t>Profit available for Appropriation</t>
  </si>
  <si>
    <t>APPROPRIATIONS</t>
  </si>
  <si>
    <t>Transfer to Reserves (Net) :</t>
  </si>
  <si>
    <t>Statutory Reserve</t>
  </si>
  <si>
    <t>Grant Account - Capital Reserve</t>
  </si>
  <si>
    <t>Investment Fluctuation Reserve</t>
  </si>
  <si>
    <t>Other Reserve</t>
  </si>
  <si>
    <t>Special Reserve</t>
  </si>
  <si>
    <t>Balance carried over to Balance Sheet</t>
  </si>
  <si>
    <t>Prepare common-size Balance sheet as per the templates given below</t>
  </si>
  <si>
    <t xml:space="preserve">Balance Sheet as on31st March 20xx </t>
  </si>
  <si>
    <t>Particulars</t>
  </si>
  <si>
    <t>Amount P</t>
  </si>
  <si>
    <t xml:space="preserve">Amount C  </t>
  </si>
  <si>
    <t xml:space="preserve">Percentage </t>
  </si>
  <si>
    <t>CAPITAL &amp; LIABILITIES</t>
  </si>
  <si>
    <t>Capital</t>
  </si>
  <si>
    <t>Reserves &amp; Surplus</t>
  </si>
  <si>
    <t>Deposits</t>
  </si>
  <si>
    <t>Borrowings</t>
  </si>
  <si>
    <t>Other Liabilities and Provisions</t>
  </si>
  <si>
    <t>ASSETS</t>
  </si>
  <si>
    <t>Cash and Balances with Reserve Bank of India</t>
  </si>
  <si>
    <t xml:space="preserve">Balances with Banks &amp; Money at call &amp; short notice </t>
  </si>
  <si>
    <t>Investments</t>
  </si>
  <si>
    <t>Advances</t>
  </si>
  <si>
    <t>Fixed Assets</t>
  </si>
  <si>
    <t>Other Assets</t>
  </si>
  <si>
    <t>Contingent Liabilities</t>
  </si>
  <si>
    <t xml:space="preserve"> Bills for Collection</t>
  </si>
  <si>
    <t>Bank Perfoamance calculation</t>
  </si>
  <si>
    <t>INDIA POST PAYMENTS BANK LIMITED</t>
  </si>
  <si>
    <t xml:space="preserve">Students are asked to calculate the following </t>
  </si>
  <si>
    <t>KPIs</t>
  </si>
  <si>
    <t>S.NO</t>
  </si>
  <si>
    <t xml:space="preserve">Performance Indicators </t>
  </si>
  <si>
    <t xml:space="preserve">Interest Income </t>
  </si>
  <si>
    <t>INTEREST INCOME</t>
  </si>
  <si>
    <t>Value</t>
  </si>
  <si>
    <t>TOTAL INCOME</t>
  </si>
  <si>
    <t>NII</t>
  </si>
  <si>
    <t>(S-13)</t>
  </si>
  <si>
    <t xml:space="preserve">Contribution </t>
  </si>
  <si>
    <t>Contribution Ratio</t>
  </si>
  <si>
    <t>Operating Profit</t>
  </si>
  <si>
    <t>NET INTEREST INCOME</t>
  </si>
  <si>
    <t>NII RATIO</t>
  </si>
  <si>
    <t xml:space="preserve">Cost to Income Ratio </t>
  </si>
  <si>
    <t>INTEREST EARNED - INTEREST EXPENDED</t>
  </si>
  <si>
    <t>NII/TOTAL INCOME*100</t>
  </si>
  <si>
    <t>OPM</t>
  </si>
  <si>
    <t>1284559-711243</t>
  </si>
  <si>
    <t>NIM</t>
  </si>
  <si>
    <t>Ans</t>
  </si>
  <si>
    <t>CASA</t>
  </si>
  <si>
    <t xml:space="preserve">Loans / Deposits </t>
  </si>
  <si>
    <t>CONTRIBUTION</t>
  </si>
  <si>
    <t xml:space="preserve">CAR Ratio </t>
  </si>
  <si>
    <t>OTHER INCOME - OPERATING EXPENSES</t>
  </si>
  <si>
    <t>Liquidity Ratio</t>
  </si>
  <si>
    <t>3327482-5595450</t>
  </si>
  <si>
    <t>ROA</t>
  </si>
  <si>
    <t>ROE</t>
  </si>
  <si>
    <t>ROCE</t>
  </si>
  <si>
    <t>CONTRIBUTION RATIO</t>
  </si>
  <si>
    <t>EPS</t>
  </si>
  <si>
    <t>OTHER INCOME/ OPERATING EXPENSES</t>
  </si>
  <si>
    <t>Price Earing Ratio</t>
  </si>
  <si>
    <t>3327482/5595450</t>
  </si>
  <si>
    <t>OPERATING PROFIT</t>
  </si>
  <si>
    <t>INTEREST EARNED - OPERATING EXPENSES</t>
  </si>
  <si>
    <t>1284559-5595450</t>
  </si>
  <si>
    <t xml:space="preserve">Schedule No </t>
  </si>
  <si>
    <t>Interest Earned</t>
  </si>
  <si>
    <t>COST TO INCOME RATIO</t>
  </si>
  <si>
    <t>OPERATING EXPENSES/INTERSET EARNED</t>
  </si>
  <si>
    <t>Interest Expended</t>
  </si>
  <si>
    <t>5595450/1284559</t>
  </si>
  <si>
    <t>Operating Expenses</t>
  </si>
  <si>
    <t>OPERATING PROFIT MARGIN</t>
  </si>
  <si>
    <t>OPERATING PROFIT /TOTAL INTEREST INCOME</t>
  </si>
  <si>
    <t>Net Interest Margin(NIM)</t>
  </si>
  <si>
    <t>NII/TOTAL EARNING ASSESTS</t>
  </si>
  <si>
    <t>CASA DEPOSITS/TOTAL DEPOSITS</t>
  </si>
  <si>
    <t>36917218/36917218</t>
  </si>
  <si>
    <t>LOAN/DEPOSITS</t>
  </si>
  <si>
    <t>LOANS&amp; ADVANCES/TOTAL DEPOSITS*100</t>
  </si>
  <si>
    <t>15620/36917218*100</t>
  </si>
  <si>
    <t>CAR RATIO</t>
  </si>
  <si>
    <t>TIER I CAPITAL+TIER II CAPITAL/RWA</t>
  </si>
  <si>
    <t>24369377/41427943</t>
  </si>
  <si>
    <t>LIQUIDITY RATIO</t>
  </si>
  <si>
    <t>LIQUID ASSET(s6)+(s7)+(s8)/TOTAL ASSET*100</t>
  </si>
  <si>
    <t>41412323/45011081*100</t>
  </si>
  <si>
    <t>Return on Assest(ROA)</t>
  </si>
  <si>
    <t>NET PROFIT/TOTAL AVERAGE ASSETS*100</t>
  </si>
  <si>
    <t>Return on Equity(ROE)</t>
  </si>
  <si>
    <t>NET PROFIT/EQUITY SHARE CAPITAL*100</t>
  </si>
  <si>
    <t>Return on Capital Employed(ROCE)</t>
  </si>
  <si>
    <t>NET PROFIT/CAPITAL EMPLOYED*100</t>
  </si>
  <si>
    <t>Equity per Share(EPS)</t>
  </si>
  <si>
    <t>NET PROFIT/NO OF COMMON SHARES OUTSTANDING</t>
  </si>
  <si>
    <t>1596173/2910000000</t>
  </si>
  <si>
    <t>PRICE EARNING RATIO</t>
  </si>
  <si>
    <t>SHARE PRICE/EARNING PER SHARE</t>
  </si>
  <si>
    <t>45011081/-5.485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</si>
</sst>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8"/>
      <color theme="1"/>
      <name val="Arial Black"/>
      <charset val="134"/>
    </font>
    <font>
      <b/>
      <u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rgb="FF002060"/>
      <name val="Arial Black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Arial Black"/>
      <charset val="134"/>
    </font>
    <font>
      <sz val="11"/>
      <color theme="1"/>
      <name val="Calibri Light"/>
      <charset val="134"/>
      <scheme val="maj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3" fillId="24" borderId="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29" fillId="22" borderId="8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8" fillId="22" borderId="7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5" fillId="2" borderId="1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right"/>
    </xf>
    <xf numFmtId="0" fontId="1" fillId="0" borderId="1" xfId="0" applyFont="1" applyFill="1" applyBorder="1"/>
    <xf numFmtId="9" fontId="5" fillId="0" borderId="1" xfId="0" applyNumberFormat="1" applyFont="1" applyFill="1" applyBorder="1" applyAlignment="1" applyProtection="1">
      <alignment horizontal="right"/>
    </xf>
    <xf numFmtId="0" fontId="1" fillId="0" borderId="0" xfId="0" applyFont="1"/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5" fillId="0" borderId="1" xfId="0" applyNumberFormat="1" applyFont="1" applyFill="1" applyBorder="1" applyAlignment="1" applyProtection="1">
      <alignment horizontal="right"/>
    </xf>
    <xf numFmtId="3" fontId="6" fillId="0" borderId="1" xfId="0" applyNumberFormat="1" applyFont="1" applyFill="1" applyBorder="1" applyAlignment="1" applyProtection="1">
      <alignment horizontal="center"/>
    </xf>
    <xf numFmtId="3" fontId="6" fillId="0" borderId="1" xfId="0" applyNumberFormat="1" applyFont="1" applyFill="1" applyBorder="1" applyAlignment="1" applyProtection="1"/>
    <xf numFmtId="9" fontId="5" fillId="0" borderId="1" xfId="6" applyFont="1" applyFill="1" applyBorder="1" applyAlignment="1" applyProtection="1">
      <alignment horizontal="right"/>
    </xf>
    <xf numFmtId="9" fontId="6" fillId="0" borderId="1" xfId="0" applyNumberFormat="1" applyFont="1" applyFill="1" applyBorder="1" applyAlignment="1" applyProtection="1">
      <alignment horizontal="center"/>
    </xf>
    <xf numFmtId="0" fontId="6" fillId="4" borderId="1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0" fillId="0" borderId="2" xfId="0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4" borderId="1" xfId="0" applyFont="1" applyFill="1" applyBorder="1" applyAlignment="1">
      <alignment horizontal="right" vertical="center"/>
    </xf>
    <xf numFmtId="0" fontId="0" fillId="0" borderId="1" xfId="0" applyFont="1" applyBorder="1"/>
    <xf numFmtId="0" fontId="0" fillId="0" borderId="1" xfId="0" applyFont="1" applyBorder="1" applyAlignment="1">
      <alignment horizontal="justify"/>
    </xf>
    <xf numFmtId="0" fontId="0" fillId="0" borderId="1" xfId="0" applyFont="1" applyBorder="1" applyAlignment="1">
      <alignment horizontal="right"/>
    </xf>
    <xf numFmtId="9" fontId="0" fillId="0" borderId="1" xfId="6" applyFont="1" applyBorder="1" applyAlignment="1"/>
    <xf numFmtId="0" fontId="1" fillId="0" borderId="1" xfId="0" applyFont="1" applyBorder="1" applyAlignment="1">
      <alignment horizontal="right"/>
    </xf>
    <xf numFmtId="9" fontId="1" fillId="0" borderId="1" xfId="6" applyFont="1" applyBorder="1" applyAlignment="1"/>
    <xf numFmtId="0" fontId="9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justify"/>
    </xf>
    <xf numFmtId="0" fontId="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 applyProtection="1">
      <alignment horizontal="left" vertical="center" wrapText="1"/>
      <protection hidden="1"/>
    </xf>
    <xf numFmtId="0" fontId="13" fillId="7" borderId="1" xfId="0" applyFont="1" applyFill="1" applyBorder="1" applyAlignment="1" applyProtection="1">
      <alignment horizontal="left" vertical="center"/>
      <protection hidden="1"/>
    </xf>
    <xf numFmtId="0" fontId="13" fillId="7" borderId="1" xfId="0" applyFont="1" applyFill="1" applyBorder="1" applyAlignment="1" applyProtection="1">
      <alignment horizontal="left" vertical="center" wrapText="1"/>
      <protection hidden="1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5" fillId="0" borderId="0" xfId="0" applyFont="1" applyAlignment="1">
      <alignment horizontal="justify"/>
    </xf>
    <xf numFmtId="0" fontId="15" fillId="0" borderId="0" xfId="0" applyFont="1" applyAlignment="1">
      <alignment horizontal="left"/>
    </xf>
    <xf numFmtId="0" fontId="15" fillId="0" borderId="0" xfId="0" applyFon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85" zoomScaleNormal="85" workbookViewId="0">
      <selection activeCell="J23" sqref="J23"/>
    </sheetView>
  </sheetViews>
  <sheetFormatPr defaultColWidth="9" defaultRowHeight="14.4"/>
  <cols>
    <col min="1" max="1" width="48.1111111111111" customWidth="1"/>
    <col min="3" max="3" width="13.7777777777778"/>
    <col min="5" max="5" width="10.5555555555556"/>
    <col min="6" max="6" width="12.3333333333333" customWidth="1"/>
    <col min="7" max="7" width="31.5555555555556" customWidth="1"/>
  </cols>
  <sheetData>
    <row r="1" spans="1:7">
      <c r="A1" s="44" t="s">
        <v>0</v>
      </c>
      <c r="B1" s="44"/>
      <c r="C1" s="44"/>
      <c r="D1" s="44"/>
      <c r="E1" s="44"/>
      <c r="F1" s="44"/>
      <c r="G1" s="44"/>
    </row>
    <row r="2" ht="22.5" customHeight="1" spans="1:7">
      <c r="A2" s="45" t="s">
        <v>1</v>
      </c>
      <c r="B2" s="45"/>
      <c r="C2" s="45"/>
      <c r="D2" s="45"/>
      <c r="E2" s="45"/>
      <c r="F2" s="45"/>
      <c r="G2" s="45"/>
    </row>
    <row r="3" ht="22.5" customHeight="1" spans="1:7">
      <c r="A3" s="46" t="s">
        <v>2</v>
      </c>
      <c r="B3" s="46"/>
      <c r="C3" s="46"/>
      <c r="D3" s="46"/>
      <c r="E3" s="46"/>
      <c r="F3" s="46"/>
      <c r="G3" s="46"/>
    </row>
    <row r="4" ht="18.6" spans="1:7">
      <c r="A4" s="47" t="s">
        <v>3</v>
      </c>
      <c r="B4" s="48" t="s">
        <v>4</v>
      </c>
      <c r="C4" s="48"/>
      <c r="D4" s="49" t="s">
        <v>5</v>
      </c>
      <c r="E4" s="49"/>
      <c r="F4" s="50" t="s">
        <v>6</v>
      </c>
      <c r="G4" s="51" t="s">
        <v>7</v>
      </c>
    </row>
    <row r="5" spans="1:7">
      <c r="A5" s="52" t="s">
        <v>8</v>
      </c>
      <c r="B5" s="41"/>
      <c r="C5" s="41"/>
      <c r="D5" s="41"/>
      <c r="E5" s="41"/>
      <c r="F5" s="2"/>
      <c r="G5" s="2"/>
    </row>
    <row r="6" spans="1:7">
      <c r="A6" s="53" t="s">
        <v>9</v>
      </c>
      <c r="B6" s="41"/>
      <c r="C6" s="36">
        <v>804430</v>
      </c>
      <c r="D6" s="54"/>
      <c r="E6" s="36">
        <v>1284559</v>
      </c>
      <c r="F6" s="2">
        <f>E6-C6</f>
        <v>480129</v>
      </c>
      <c r="G6" s="37">
        <f>F6/C6</f>
        <v>0.59685615901943</v>
      </c>
    </row>
    <row r="7" spans="1:7">
      <c r="A7" s="55" t="s">
        <v>10</v>
      </c>
      <c r="B7" s="41"/>
      <c r="C7" s="36">
        <v>1326009</v>
      </c>
      <c r="D7" s="36"/>
      <c r="E7" s="56">
        <v>3327482</v>
      </c>
      <c r="F7" s="2">
        <f t="shared" ref="F7:F30" si="0">E7-C7</f>
        <v>2001473</v>
      </c>
      <c r="G7" s="37">
        <f t="shared" ref="G7:G30" si="1">F7/C7</f>
        <v>1.50939624090033</v>
      </c>
    </row>
    <row r="8" spans="1:7">
      <c r="A8" s="57" t="s">
        <v>11</v>
      </c>
      <c r="B8" s="58"/>
      <c r="C8" s="59">
        <v>2130439</v>
      </c>
      <c r="D8" s="38"/>
      <c r="E8" s="59">
        <v>4612041</v>
      </c>
      <c r="F8" s="2">
        <f t="shared" si="0"/>
        <v>2481602</v>
      </c>
      <c r="G8" s="37">
        <f t="shared" si="1"/>
        <v>1.16483128594623</v>
      </c>
    </row>
    <row r="9" spans="1:7">
      <c r="A9" s="41"/>
      <c r="B9" s="41"/>
      <c r="C9" s="36"/>
      <c r="D9" s="36"/>
      <c r="E9" s="36"/>
      <c r="F9" s="2"/>
      <c r="G9" s="37"/>
    </row>
    <row r="10" spans="1:7">
      <c r="A10" s="60" t="s">
        <v>12</v>
      </c>
      <c r="B10" s="41"/>
      <c r="C10" s="36"/>
      <c r="D10" s="36"/>
      <c r="E10" s="36"/>
      <c r="F10" s="2"/>
      <c r="G10" s="37"/>
    </row>
    <row r="11" spans="1:7">
      <c r="A11" s="53" t="s">
        <v>13</v>
      </c>
      <c r="B11" s="41"/>
      <c r="C11" s="56">
        <v>459081</v>
      </c>
      <c r="D11" s="36"/>
      <c r="E11" s="56">
        <v>711243</v>
      </c>
      <c r="F11" s="2">
        <f t="shared" si="0"/>
        <v>252162</v>
      </c>
      <c r="G11" s="37">
        <f t="shared" si="1"/>
        <v>0.549275618028191</v>
      </c>
    </row>
    <row r="12" spans="1:7">
      <c r="A12" s="53" t="s">
        <v>14</v>
      </c>
      <c r="B12" s="41"/>
      <c r="C12" s="56">
        <v>4940231</v>
      </c>
      <c r="D12" s="36"/>
      <c r="E12" s="56">
        <v>5595450</v>
      </c>
      <c r="F12" s="2">
        <f t="shared" si="0"/>
        <v>655219</v>
      </c>
      <c r="G12" s="37">
        <f t="shared" si="1"/>
        <v>0.132629223208388</v>
      </c>
    </row>
    <row r="13" spans="1:10">
      <c r="A13" s="53" t="s">
        <v>15</v>
      </c>
      <c r="B13" s="41"/>
      <c r="C13" s="56">
        <v>-63434</v>
      </c>
      <c r="D13" s="36"/>
      <c r="E13" s="56">
        <v>-98479</v>
      </c>
      <c r="F13" s="2">
        <f t="shared" si="0"/>
        <v>-35045</v>
      </c>
      <c r="G13" s="37">
        <f t="shared" si="1"/>
        <v>0.552463978308163</v>
      </c>
      <c r="J13" s="62"/>
    </row>
    <row r="14" spans="1:10">
      <c r="A14" s="57" t="s">
        <v>11</v>
      </c>
      <c r="B14" s="58"/>
      <c r="C14" s="61">
        <v>5335878</v>
      </c>
      <c r="D14" s="38"/>
      <c r="E14" s="61">
        <v>6208214</v>
      </c>
      <c r="F14" s="2">
        <f t="shared" si="0"/>
        <v>872336</v>
      </c>
      <c r="G14" s="37">
        <f t="shared" si="1"/>
        <v>0.163484997220701</v>
      </c>
      <c r="J14" s="63"/>
    </row>
    <row r="15" spans="1:10">
      <c r="A15" s="41"/>
      <c r="B15" s="41"/>
      <c r="C15" s="36"/>
      <c r="D15" s="36"/>
      <c r="E15" s="36"/>
      <c r="F15" s="2"/>
      <c r="G15" s="37"/>
      <c r="J15" s="63"/>
    </row>
    <row r="16" spans="1:10">
      <c r="A16" s="53" t="s">
        <v>16</v>
      </c>
      <c r="B16" s="41"/>
      <c r="C16" s="36" t="s">
        <v>17</v>
      </c>
      <c r="D16" s="36"/>
      <c r="E16" s="36" t="s">
        <v>17</v>
      </c>
      <c r="F16" s="2"/>
      <c r="G16" s="37"/>
      <c r="J16" s="64"/>
    </row>
    <row r="17" spans="1:10">
      <c r="A17" s="57" t="s">
        <v>18</v>
      </c>
      <c r="B17" s="41"/>
      <c r="C17" s="36"/>
      <c r="D17" s="36"/>
      <c r="E17" s="36"/>
      <c r="F17" s="2"/>
      <c r="G17" s="37"/>
      <c r="J17" s="63"/>
    </row>
    <row r="18" spans="1:10">
      <c r="A18" s="53" t="s">
        <v>19</v>
      </c>
      <c r="B18" s="41"/>
      <c r="C18" s="61">
        <v>-3205439</v>
      </c>
      <c r="D18" s="38"/>
      <c r="E18" s="61">
        <v>-1596173</v>
      </c>
      <c r="F18" s="2">
        <f t="shared" si="0"/>
        <v>1609266</v>
      </c>
      <c r="G18" s="37">
        <f t="shared" si="1"/>
        <v>-0.502042309961288</v>
      </c>
      <c r="J18" s="63"/>
    </row>
    <row r="19" spans="1:7">
      <c r="A19" s="57" t="s">
        <v>20</v>
      </c>
      <c r="B19" s="41"/>
      <c r="C19" s="61">
        <v>-5008955</v>
      </c>
      <c r="D19" s="38"/>
      <c r="E19" s="61">
        <v>-8228758</v>
      </c>
      <c r="F19" s="2">
        <f t="shared" si="0"/>
        <v>-3219803</v>
      </c>
      <c r="G19" s="37">
        <f t="shared" si="1"/>
        <v>0.64280932849267</v>
      </c>
    </row>
    <row r="20" spans="1:7">
      <c r="A20" s="53" t="s">
        <v>21</v>
      </c>
      <c r="B20" s="41"/>
      <c r="C20" s="61">
        <v>-8214394</v>
      </c>
      <c r="D20" s="38"/>
      <c r="E20" s="61">
        <v>-9824931</v>
      </c>
      <c r="F20" s="2">
        <f t="shared" si="0"/>
        <v>-1610537</v>
      </c>
      <c r="G20" s="37">
        <f t="shared" si="1"/>
        <v>0.196062789294012</v>
      </c>
    </row>
    <row r="21" spans="1:7">
      <c r="A21" s="41"/>
      <c r="B21" s="41"/>
      <c r="C21" s="36"/>
      <c r="D21" s="36"/>
      <c r="E21" s="36"/>
      <c r="F21" s="2"/>
      <c r="G21" s="37"/>
    </row>
    <row r="22" spans="1:7">
      <c r="A22" s="60" t="s">
        <v>22</v>
      </c>
      <c r="B22" s="41"/>
      <c r="C22" s="36"/>
      <c r="D22" s="36"/>
      <c r="E22" s="36"/>
      <c r="F22" s="2"/>
      <c r="G22" s="37"/>
    </row>
    <row r="23" spans="1:7">
      <c r="A23" s="53" t="s">
        <v>23</v>
      </c>
      <c r="B23" s="41"/>
      <c r="C23" s="36"/>
      <c r="D23" s="36"/>
      <c r="E23" s="36"/>
      <c r="F23" s="2"/>
      <c r="G23" s="37"/>
    </row>
    <row r="24" spans="1:7">
      <c r="A24" s="53" t="s">
        <v>24</v>
      </c>
      <c r="B24" s="41"/>
      <c r="C24" s="36" t="s">
        <v>17</v>
      </c>
      <c r="D24" s="36"/>
      <c r="E24" s="36" t="s">
        <v>17</v>
      </c>
      <c r="F24" s="2"/>
      <c r="G24" s="37"/>
    </row>
    <row r="25" spans="1:7">
      <c r="A25" s="53" t="s">
        <v>25</v>
      </c>
      <c r="B25" s="41"/>
      <c r="C25" s="56">
        <v>14364</v>
      </c>
      <c r="D25" s="36"/>
      <c r="E25" s="56">
        <v>2466</v>
      </c>
      <c r="F25" s="2">
        <f t="shared" si="0"/>
        <v>-11898</v>
      </c>
      <c r="G25" s="37">
        <f t="shared" si="1"/>
        <v>-0.828320802005013</v>
      </c>
    </row>
    <row r="26" spans="1:7">
      <c r="A26" s="53" t="s">
        <v>26</v>
      </c>
      <c r="B26" s="41"/>
      <c r="C26" s="36" t="s">
        <v>17</v>
      </c>
      <c r="D26" s="36"/>
      <c r="E26" s="36" t="s">
        <v>17</v>
      </c>
      <c r="F26" s="2"/>
      <c r="G26" s="37"/>
    </row>
    <row r="27" spans="1:7">
      <c r="A27" s="53" t="s">
        <v>27</v>
      </c>
      <c r="B27" s="41"/>
      <c r="C27" s="36" t="s">
        <v>17</v>
      </c>
      <c r="D27" s="36"/>
      <c r="E27" s="36" t="s">
        <v>17</v>
      </c>
      <c r="F27" s="2"/>
      <c r="G27" s="37"/>
    </row>
    <row r="28" spans="1:7">
      <c r="A28" s="53" t="s">
        <v>28</v>
      </c>
      <c r="B28" s="41"/>
      <c r="C28" s="36" t="s">
        <v>17</v>
      </c>
      <c r="D28" s="36"/>
      <c r="E28" s="36" t="s">
        <v>17</v>
      </c>
      <c r="F28" s="2"/>
      <c r="G28" s="37"/>
    </row>
    <row r="29" spans="1:7">
      <c r="A29" s="53" t="s">
        <v>29</v>
      </c>
      <c r="B29" s="41"/>
      <c r="C29" s="56">
        <v>-8228758</v>
      </c>
      <c r="D29" s="36"/>
      <c r="E29" s="56">
        <v>-9827397</v>
      </c>
      <c r="F29" s="2">
        <f t="shared" si="0"/>
        <v>-1598639</v>
      </c>
      <c r="G29" s="37">
        <f t="shared" si="1"/>
        <v>0.194274640231248</v>
      </c>
    </row>
    <row r="30" spans="1:7">
      <c r="A30" s="57" t="s">
        <v>11</v>
      </c>
      <c r="B30" s="58"/>
      <c r="C30" s="61">
        <v>-8214394</v>
      </c>
      <c r="D30" s="38"/>
      <c r="E30" s="61">
        <v>-9824931</v>
      </c>
      <c r="F30" s="2">
        <f t="shared" si="0"/>
        <v>-1610537</v>
      </c>
      <c r="G30" s="37">
        <f t="shared" si="1"/>
        <v>0.196062789294012</v>
      </c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</sheetData>
  <mergeCells count="5">
    <mergeCell ref="A1:G1"/>
    <mergeCell ref="A2:G2"/>
    <mergeCell ref="A3:G3"/>
    <mergeCell ref="B4:C4"/>
    <mergeCell ref="D4:E4"/>
  </mergeCells>
  <conditionalFormatting sqref="G5:G30">
    <cfRule type="cellIs" dxfId="0" priority="1" operator="lessThan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G24" sqref="G24"/>
    </sheetView>
  </sheetViews>
  <sheetFormatPr defaultColWidth="9" defaultRowHeight="14.4" outlineLevelCol="3"/>
  <cols>
    <col min="1" max="1" width="43.1111111111111" customWidth="1"/>
    <col min="2" max="2" width="19.2222222222222" customWidth="1"/>
    <col min="3" max="3" width="21.2222222222222" customWidth="1"/>
    <col min="4" max="4" width="24.6666666666667" customWidth="1"/>
  </cols>
  <sheetData>
    <row r="1" spans="1:4">
      <c r="A1" s="28" t="s">
        <v>30</v>
      </c>
      <c r="B1" s="28"/>
      <c r="C1" s="28"/>
      <c r="D1" s="28"/>
    </row>
    <row r="2" ht="27.6" spans="1:4">
      <c r="A2" s="29" t="s">
        <v>31</v>
      </c>
      <c r="B2" s="29"/>
      <c r="C2" s="29"/>
      <c r="D2" s="29"/>
    </row>
    <row r="3" ht="27.6" spans="1:4">
      <c r="A3" s="30" t="s">
        <v>32</v>
      </c>
      <c r="B3" s="31" t="s">
        <v>33</v>
      </c>
      <c r="C3" s="31" t="s">
        <v>34</v>
      </c>
      <c r="D3" s="31" t="s">
        <v>35</v>
      </c>
    </row>
    <row r="4" ht="23.4" spans="1:4">
      <c r="A4" s="32" t="s">
        <v>36</v>
      </c>
      <c r="B4" s="33"/>
      <c r="C4" s="33"/>
      <c r="D4" s="34"/>
    </row>
    <row r="5" spans="1:4">
      <c r="A5" s="35" t="s">
        <v>37</v>
      </c>
      <c r="B5" s="36">
        <v>12550000</v>
      </c>
      <c r="C5" s="36">
        <v>14550000</v>
      </c>
      <c r="D5" s="37">
        <f>C5/$C$10</f>
        <v>0.323253733897215</v>
      </c>
    </row>
    <row r="6" spans="1:4">
      <c r="A6" s="35" t="s">
        <v>38</v>
      </c>
      <c r="B6" s="36">
        <v>-8103856</v>
      </c>
      <c r="C6" s="36">
        <v>-9819377</v>
      </c>
      <c r="D6" s="37">
        <f t="shared" ref="D6:D21" si="0">C6/$C$10</f>
        <v>-0.218154658405116</v>
      </c>
    </row>
    <row r="7" spans="1:4">
      <c r="A7" s="35" t="s">
        <v>39</v>
      </c>
      <c r="B7" s="36">
        <v>22996851</v>
      </c>
      <c r="C7" s="36">
        <v>36917218</v>
      </c>
      <c r="D7" s="37">
        <f t="shared" si="0"/>
        <v>0.820180657291923</v>
      </c>
    </row>
    <row r="8" spans="1:4">
      <c r="A8" s="35" t="s">
        <v>40</v>
      </c>
      <c r="B8" s="36">
        <v>169964</v>
      </c>
      <c r="C8" s="36" t="s">
        <v>17</v>
      </c>
      <c r="D8" s="37"/>
    </row>
    <row r="9" spans="1:4">
      <c r="A9" s="35" t="s">
        <v>41</v>
      </c>
      <c r="B9" s="36">
        <v>3004437</v>
      </c>
      <c r="C9" s="36">
        <v>3363240</v>
      </c>
      <c r="D9" s="37">
        <f t="shared" si="0"/>
        <v>0.0747202672159773</v>
      </c>
    </row>
    <row r="10" spans="1:4">
      <c r="A10" s="9" t="s">
        <v>11</v>
      </c>
      <c r="B10" s="38">
        <v>30617396</v>
      </c>
      <c r="C10" s="38">
        <v>45011081</v>
      </c>
      <c r="D10" s="39">
        <f t="shared" si="0"/>
        <v>1</v>
      </c>
    </row>
    <row r="11" spans="1:4">
      <c r="A11" s="34"/>
      <c r="B11" s="36"/>
      <c r="C11" s="36"/>
      <c r="D11" s="37"/>
    </row>
    <row r="12" spans="1:4">
      <c r="A12" s="40" t="s">
        <v>42</v>
      </c>
      <c r="B12" s="36"/>
      <c r="C12" s="36"/>
      <c r="D12" s="37"/>
    </row>
    <row r="13" spans="1:4">
      <c r="A13" s="41" t="s">
        <v>43</v>
      </c>
      <c r="B13" s="36">
        <v>1074128</v>
      </c>
      <c r="C13" s="36">
        <v>2672807</v>
      </c>
      <c r="D13" s="37">
        <f t="shared" si="0"/>
        <v>0.0593810888478773</v>
      </c>
    </row>
    <row r="14" spans="1:4">
      <c r="A14" s="41" t="s">
        <v>44</v>
      </c>
      <c r="B14" s="36">
        <v>6074544</v>
      </c>
      <c r="C14" s="36">
        <v>9730653</v>
      </c>
      <c r="D14" s="37">
        <f t="shared" si="0"/>
        <v>0.216183499347638</v>
      </c>
    </row>
    <row r="15" spans="1:4">
      <c r="A15" s="35" t="s">
        <v>45</v>
      </c>
      <c r="B15" s="36">
        <v>19090898</v>
      </c>
      <c r="C15" s="36">
        <v>29008863</v>
      </c>
      <c r="D15" s="37">
        <f t="shared" si="0"/>
        <v>0.644482699715654</v>
      </c>
    </row>
    <row r="16" spans="1:4">
      <c r="A16" s="35" t="s">
        <v>46</v>
      </c>
      <c r="B16" s="36">
        <v>0</v>
      </c>
      <c r="C16" s="36">
        <v>15620</v>
      </c>
      <c r="D16" s="37">
        <f t="shared" si="0"/>
        <v>0.000347025657970756</v>
      </c>
    </row>
    <row r="17" spans="1:4">
      <c r="A17" s="35" t="s">
        <v>47</v>
      </c>
      <c r="B17" s="36">
        <v>1577433</v>
      </c>
      <c r="C17" s="36">
        <v>788712</v>
      </c>
      <c r="D17" s="37">
        <f t="shared" si="0"/>
        <v>0.0175226184858791</v>
      </c>
    </row>
    <row r="18" spans="1:4">
      <c r="A18" s="35" t="s">
        <v>48</v>
      </c>
      <c r="B18" s="36">
        <v>2800393</v>
      </c>
      <c r="C18" s="36">
        <v>2794426</v>
      </c>
      <c r="D18" s="37">
        <f t="shared" si="0"/>
        <v>0.06208306794498</v>
      </c>
    </row>
    <row r="19" spans="1:4">
      <c r="A19" s="42" t="s">
        <v>11</v>
      </c>
      <c r="B19" s="38">
        <v>30617396</v>
      </c>
      <c r="C19" s="38">
        <v>45011081</v>
      </c>
      <c r="D19" s="39">
        <f t="shared" si="0"/>
        <v>1</v>
      </c>
    </row>
    <row r="20" spans="1:4">
      <c r="A20" s="34"/>
      <c r="B20" s="36"/>
      <c r="C20" s="36"/>
      <c r="D20" s="37"/>
    </row>
    <row r="21" spans="1:4">
      <c r="A21" s="41" t="s">
        <v>49</v>
      </c>
      <c r="B21" s="36">
        <v>2500</v>
      </c>
      <c r="C21" s="43">
        <v>2500</v>
      </c>
      <c r="D21" s="37">
        <f t="shared" si="0"/>
        <v>5.55418786764975e-5</v>
      </c>
    </row>
    <row r="22" spans="1:4">
      <c r="A22" s="41" t="s">
        <v>50</v>
      </c>
      <c r="B22" s="36" t="s">
        <v>17</v>
      </c>
      <c r="C22" s="36" t="s">
        <v>17</v>
      </c>
      <c r="D22" s="37"/>
    </row>
    <row r="23" spans="1:4">
      <c r="A23" s="34"/>
      <c r="B23" s="36"/>
      <c r="C23" s="36"/>
      <c r="D23" s="34"/>
    </row>
    <row r="24" spans="1:4">
      <c r="A24" s="34"/>
      <c r="B24" s="36"/>
      <c r="C24" s="36"/>
      <c r="D24" s="34"/>
    </row>
    <row r="25" spans="1:4">
      <c r="A25" s="34"/>
      <c r="B25" s="36"/>
      <c r="C25" s="36"/>
      <c r="D25" s="34"/>
    </row>
    <row r="26" spans="1:4">
      <c r="A26" s="34"/>
      <c r="B26" s="34"/>
      <c r="C26" s="34"/>
      <c r="D26" s="34"/>
    </row>
    <row r="27" spans="1:4">
      <c r="A27" s="34"/>
      <c r="B27" s="34"/>
      <c r="C27" s="34"/>
      <c r="D27" s="34"/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zoomScale="40" zoomScaleNormal="40" workbookViewId="0">
      <selection activeCell="N32" sqref="N32"/>
    </sheetView>
  </sheetViews>
  <sheetFormatPr defaultColWidth="9" defaultRowHeight="14.4"/>
  <cols>
    <col min="1" max="1" width="22.1111111111111" customWidth="1"/>
    <col min="2" max="2" width="54.7777777777778" customWidth="1"/>
    <col min="3" max="3" width="24.4444444444444" customWidth="1"/>
    <col min="4" max="4" width="12.2222222222222" customWidth="1"/>
    <col min="5" max="5" width="22.6666666666667" customWidth="1"/>
    <col min="6" max="6" width="56.3333333333333" customWidth="1"/>
    <col min="7" max="7" width="10.5555555555556" customWidth="1"/>
    <col min="8" max="8" width="12.2222222222222" customWidth="1"/>
    <col min="10" max="10" width="35.4444444444444" customWidth="1"/>
  </cols>
  <sheetData>
    <row r="1" ht="23.4" spans="1:10">
      <c r="A1" s="1" t="s">
        <v>51</v>
      </c>
      <c r="B1" s="1"/>
      <c r="E1" s="2"/>
      <c r="F1" s="3" t="s">
        <v>52</v>
      </c>
      <c r="G1" s="2"/>
      <c r="H1" s="2"/>
      <c r="I1" s="2"/>
      <c r="J1" s="2"/>
    </row>
    <row r="2" spans="1:10">
      <c r="A2" s="4" t="s">
        <v>53</v>
      </c>
      <c r="B2" s="4"/>
      <c r="E2" s="2"/>
      <c r="F2" s="5" t="s">
        <v>54</v>
      </c>
      <c r="G2" s="6"/>
      <c r="H2" s="6"/>
      <c r="I2" s="6"/>
      <c r="J2" s="6"/>
    </row>
    <row r="3" spans="1:10">
      <c r="A3" s="7" t="s">
        <v>55</v>
      </c>
      <c r="B3" s="7" t="s">
        <v>56</v>
      </c>
      <c r="E3" s="6"/>
      <c r="F3" s="6"/>
      <c r="G3" s="6"/>
      <c r="H3" s="6"/>
      <c r="I3" s="6"/>
      <c r="J3" s="6"/>
    </row>
    <row r="4" ht="15.6" spans="1:10">
      <c r="A4" s="8">
        <v>1</v>
      </c>
      <c r="B4" s="9" t="s">
        <v>57</v>
      </c>
      <c r="E4" s="10">
        <v>1</v>
      </c>
      <c r="F4" s="11" t="s">
        <v>58</v>
      </c>
      <c r="G4" s="10" t="s">
        <v>59</v>
      </c>
      <c r="H4" s="10" t="s">
        <v>59</v>
      </c>
      <c r="I4" s="12"/>
      <c r="J4" s="10" t="s">
        <v>60</v>
      </c>
    </row>
    <row r="5" ht="15.6" spans="1:10">
      <c r="A5" s="8">
        <v>2</v>
      </c>
      <c r="B5" s="9" t="s">
        <v>61</v>
      </c>
      <c r="E5" s="12"/>
      <c r="F5" s="13" t="s">
        <v>62</v>
      </c>
      <c r="G5" s="12"/>
      <c r="H5" s="12"/>
      <c r="I5" s="12"/>
      <c r="J5" s="13">
        <v>4612041</v>
      </c>
    </row>
    <row r="6" ht="15.6" spans="1:10">
      <c r="A6" s="8">
        <v>3</v>
      </c>
      <c r="B6" s="9" t="s">
        <v>63</v>
      </c>
      <c r="E6" s="12"/>
      <c r="F6" s="13">
        <f>1284559</f>
        <v>1284559</v>
      </c>
      <c r="G6" s="12"/>
      <c r="H6" s="12"/>
      <c r="I6" s="12"/>
      <c r="J6" s="12"/>
    </row>
    <row r="7" ht="15.6" spans="1:10">
      <c r="A7" s="8">
        <v>4</v>
      </c>
      <c r="B7" s="9" t="s">
        <v>64</v>
      </c>
      <c r="E7" s="12"/>
      <c r="F7" s="12"/>
      <c r="G7" s="12"/>
      <c r="H7" s="12"/>
      <c r="I7" s="12"/>
      <c r="J7" s="12"/>
    </row>
    <row r="8" ht="15.6" spans="1:10">
      <c r="A8" s="8">
        <v>5</v>
      </c>
      <c r="B8" s="9" t="s">
        <v>65</v>
      </c>
      <c r="E8" s="10">
        <v>2</v>
      </c>
      <c r="F8" s="11" t="s">
        <v>66</v>
      </c>
      <c r="G8" s="12"/>
      <c r="H8" s="12"/>
      <c r="I8" s="12"/>
      <c r="J8" s="10" t="s">
        <v>67</v>
      </c>
    </row>
    <row r="9" ht="15.6" spans="1:10">
      <c r="A9" s="8">
        <v>6</v>
      </c>
      <c r="B9" s="9" t="s">
        <v>68</v>
      </c>
      <c r="E9" s="12"/>
      <c r="F9" s="13" t="s">
        <v>69</v>
      </c>
      <c r="G9" s="12">
        <v>1284559</v>
      </c>
      <c r="H9" s="12">
        <v>711243</v>
      </c>
      <c r="I9" s="12"/>
      <c r="J9" s="13" t="s">
        <v>70</v>
      </c>
    </row>
    <row r="10" ht="15.6" spans="1:10">
      <c r="A10" s="8">
        <v>7</v>
      </c>
      <c r="B10" s="9" t="s">
        <v>71</v>
      </c>
      <c r="E10" s="12"/>
      <c r="F10" s="13" t="s">
        <v>72</v>
      </c>
      <c r="G10" s="12"/>
      <c r="H10" s="12"/>
      <c r="I10" s="12"/>
      <c r="J10" s="25">
        <f>F11/J5</f>
        <v>0.124308521975412</v>
      </c>
    </row>
    <row r="11" ht="15.6" spans="1:10">
      <c r="A11" s="8">
        <v>8</v>
      </c>
      <c r="B11" s="9" t="s">
        <v>73</v>
      </c>
      <c r="E11" s="14" t="s">
        <v>74</v>
      </c>
      <c r="F11" s="15">
        <f>G9-H9</f>
        <v>573316</v>
      </c>
      <c r="G11" s="12"/>
      <c r="H11" s="12"/>
      <c r="I11" s="12"/>
      <c r="J11" s="12"/>
    </row>
    <row r="12" ht="15.6" spans="1:10">
      <c r="A12" s="8">
        <v>9</v>
      </c>
      <c r="B12" s="9" t="s">
        <v>75</v>
      </c>
      <c r="E12" s="12"/>
      <c r="F12" s="12"/>
      <c r="G12" s="12"/>
      <c r="H12" s="12"/>
      <c r="I12" s="12"/>
      <c r="J12" s="12"/>
    </row>
    <row r="13" ht="15.6" spans="1:10">
      <c r="A13" s="8">
        <v>10</v>
      </c>
      <c r="B13" s="9" t="s">
        <v>76</v>
      </c>
      <c r="E13" s="10">
        <v>3</v>
      </c>
      <c r="F13" s="11" t="s">
        <v>77</v>
      </c>
      <c r="G13" s="12"/>
      <c r="H13" s="12"/>
      <c r="I13" s="12"/>
      <c r="J13" s="12"/>
    </row>
    <row r="14" ht="15.6" spans="1:10">
      <c r="A14" s="8">
        <v>11</v>
      </c>
      <c r="B14" s="9" t="s">
        <v>78</v>
      </c>
      <c r="E14" s="12"/>
      <c r="F14" s="13" t="s">
        <v>79</v>
      </c>
      <c r="G14" s="12">
        <v>3327482</v>
      </c>
      <c r="H14" s="12">
        <v>5595450</v>
      </c>
      <c r="I14" s="12"/>
      <c r="J14" s="12"/>
    </row>
    <row r="15" ht="15.6" spans="1:10">
      <c r="A15" s="8">
        <v>12</v>
      </c>
      <c r="B15" s="9" t="s">
        <v>80</v>
      </c>
      <c r="E15" s="12"/>
      <c r="F15" s="13" t="s">
        <v>81</v>
      </c>
      <c r="G15" s="12"/>
      <c r="H15" s="12"/>
      <c r="I15" s="12"/>
      <c r="J15" s="12"/>
    </row>
    <row r="16" ht="15.6" spans="1:10">
      <c r="A16" s="8">
        <v>13</v>
      </c>
      <c r="B16" s="16" t="s">
        <v>82</v>
      </c>
      <c r="E16" s="14" t="s">
        <v>74</v>
      </c>
      <c r="F16" s="15">
        <f>G14-H14</f>
        <v>-2267968</v>
      </c>
      <c r="G16" s="12"/>
      <c r="H16" s="12"/>
      <c r="I16" s="12"/>
      <c r="J16" s="12"/>
    </row>
    <row r="17" ht="15.6" spans="1:10">
      <c r="A17" s="8">
        <v>14</v>
      </c>
      <c r="B17" s="16" t="s">
        <v>83</v>
      </c>
      <c r="E17" s="12"/>
      <c r="F17" s="12"/>
      <c r="G17" s="12"/>
      <c r="H17" s="12"/>
      <c r="I17" s="12"/>
      <c r="J17" s="12"/>
    </row>
    <row r="18" ht="15.6" spans="1:10">
      <c r="A18" s="8">
        <v>15</v>
      </c>
      <c r="B18" s="16" t="s">
        <v>84</v>
      </c>
      <c r="E18" s="10">
        <v>4</v>
      </c>
      <c r="F18" s="11" t="s">
        <v>85</v>
      </c>
      <c r="G18" s="12"/>
      <c r="H18" s="12"/>
      <c r="I18" s="12"/>
      <c r="J18" s="12"/>
    </row>
    <row r="19" ht="15.6" spans="1:10">
      <c r="A19" s="8">
        <v>16</v>
      </c>
      <c r="B19" s="16" t="s">
        <v>86</v>
      </c>
      <c r="E19" s="12"/>
      <c r="F19" s="13" t="s">
        <v>87</v>
      </c>
      <c r="G19" s="12">
        <v>3327482</v>
      </c>
      <c r="H19" s="12">
        <v>5595450</v>
      </c>
      <c r="I19" s="12"/>
      <c r="J19" s="12"/>
    </row>
    <row r="20" ht="15.6" spans="1:10">
      <c r="A20" s="8">
        <v>17</v>
      </c>
      <c r="B20" s="16" t="s">
        <v>88</v>
      </c>
      <c r="E20" s="12"/>
      <c r="F20" s="13" t="s">
        <v>89</v>
      </c>
      <c r="G20" s="12"/>
      <c r="H20" s="12"/>
      <c r="I20" s="12"/>
      <c r="J20" s="12"/>
    </row>
    <row r="21" ht="15.6" spans="5:10">
      <c r="E21" s="14" t="s">
        <v>74</v>
      </c>
      <c r="F21" s="17">
        <f>G19/H19</f>
        <v>0.594676388851656</v>
      </c>
      <c r="G21" s="12"/>
      <c r="H21" s="12"/>
      <c r="I21" s="12"/>
      <c r="J21" s="12"/>
    </row>
    <row r="22" ht="15.6" spans="5:10">
      <c r="E22" s="12"/>
      <c r="F22" s="12"/>
      <c r="G22" s="12"/>
      <c r="H22" s="12"/>
      <c r="I22" s="12"/>
      <c r="J22" s="12"/>
    </row>
    <row r="23" ht="15.6" spans="5:10">
      <c r="E23" s="10">
        <v>5</v>
      </c>
      <c r="F23" s="11" t="s">
        <v>90</v>
      </c>
      <c r="G23" s="12"/>
      <c r="H23" s="12"/>
      <c r="I23" s="12"/>
      <c r="J23" s="12"/>
    </row>
    <row r="24" ht="15.6" spans="5:10">
      <c r="E24" s="12"/>
      <c r="F24" s="13" t="s">
        <v>91</v>
      </c>
      <c r="G24" s="12">
        <v>1284559</v>
      </c>
      <c r="H24" s="12">
        <v>5595450</v>
      </c>
      <c r="I24" s="12"/>
      <c r="J24" s="12"/>
    </row>
    <row r="25" ht="15.6" spans="1:10">
      <c r="A25" s="18"/>
      <c r="B25" s="18"/>
      <c r="E25" s="12"/>
      <c r="F25" s="13" t="s">
        <v>92</v>
      </c>
      <c r="G25" s="12"/>
      <c r="H25" s="12"/>
      <c r="I25" s="12"/>
      <c r="J25" s="12"/>
    </row>
    <row r="26" ht="15.6" spans="1:10">
      <c r="A26" s="19" t="s">
        <v>93</v>
      </c>
      <c r="B26" s="19" t="s">
        <v>32</v>
      </c>
      <c r="E26" s="14" t="s">
        <v>74</v>
      </c>
      <c r="F26" s="15">
        <f>G24-H24</f>
        <v>-4310891</v>
      </c>
      <c r="G26" s="12"/>
      <c r="H26" s="12"/>
      <c r="I26" s="12"/>
      <c r="J26" s="12"/>
    </row>
    <row r="27" ht="15.6" spans="1:10">
      <c r="A27" s="9"/>
      <c r="B27" s="9"/>
      <c r="E27" s="12"/>
      <c r="F27" s="12"/>
      <c r="G27" s="12"/>
      <c r="H27" s="12"/>
      <c r="I27" s="12"/>
      <c r="J27" s="12"/>
    </row>
    <row r="28" ht="15.6" spans="1:10">
      <c r="A28" s="20">
        <v>13</v>
      </c>
      <c r="B28" s="20" t="s">
        <v>94</v>
      </c>
      <c r="E28" s="10">
        <v>6</v>
      </c>
      <c r="F28" s="11" t="s">
        <v>95</v>
      </c>
      <c r="G28" s="12"/>
      <c r="H28" s="12"/>
      <c r="I28" s="12"/>
      <c r="J28" s="12"/>
    </row>
    <row r="29" ht="15.6" spans="1:10">
      <c r="A29" s="20">
        <v>14</v>
      </c>
      <c r="B29" s="20" t="s">
        <v>10</v>
      </c>
      <c r="E29" s="12"/>
      <c r="F29" s="13" t="s">
        <v>96</v>
      </c>
      <c r="G29" s="12">
        <v>5595450</v>
      </c>
      <c r="H29" s="12">
        <v>1284559</v>
      </c>
      <c r="I29" s="12"/>
      <c r="J29" s="12"/>
    </row>
    <row r="30" ht="15.6" spans="1:10">
      <c r="A30" s="20">
        <v>15</v>
      </c>
      <c r="B30" s="20" t="s">
        <v>97</v>
      </c>
      <c r="E30" s="12"/>
      <c r="F30" s="13" t="s">
        <v>98</v>
      </c>
      <c r="G30" s="12"/>
      <c r="H30" s="12"/>
      <c r="I30" s="12"/>
      <c r="J30" s="12"/>
    </row>
    <row r="31" ht="15.6" spans="1:10">
      <c r="A31" s="20">
        <v>16</v>
      </c>
      <c r="B31" s="20" t="s">
        <v>99</v>
      </c>
      <c r="E31" s="14" t="s">
        <v>74</v>
      </c>
      <c r="F31" s="15">
        <f>G29/H29</f>
        <v>4.35593071240792</v>
      </c>
      <c r="G31" s="12"/>
      <c r="H31" s="12"/>
      <c r="I31" s="12"/>
      <c r="J31" s="12"/>
    </row>
    <row r="32" ht="15.6" spans="1:10">
      <c r="A32" s="20"/>
      <c r="B32" s="20"/>
      <c r="E32" s="12"/>
      <c r="F32" s="12"/>
      <c r="G32" s="12"/>
      <c r="H32" s="12"/>
      <c r="I32" s="12"/>
      <c r="J32" s="12"/>
    </row>
    <row r="33" ht="15.6" spans="5:10">
      <c r="E33" s="10">
        <v>7</v>
      </c>
      <c r="F33" s="11" t="s">
        <v>100</v>
      </c>
      <c r="G33" s="12"/>
      <c r="H33" s="12"/>
      <c r="I33" s="12"/>
      <c r="J33" s="12"/>
    </row>
    <row r="34" ht="15.6" spans="5:10">
      <c r="E34" s="12"/>
      <c r="F34" s="13" t="s">
        <v>101</v>
      </c>
      <c r="G34" s="12"/>
      <c r="H34" s="12"/>
      <c r="I34" s="12"/>
      <c r="J34" s="12"/>
    </row>
    <row r="35" ht="15.6" spans="5:10">
      <c r="E35" s="14" t="s">
        <v>74</v>
      </c>
      <c r="F35" s="17">
        <f>-4310891/1284559</f>
        <v>-3.35593071240792</v>
      </c>
      <c r="G35" s="12"/>
      <c r="H35" s="12"/>
      <c r="I35" s="12"/>
      <c r="J35" s="12"/>
    </row>
    <row r="36" ht="15.6" spans="5:10">
      <c r="E36" s="12"/>
      <c r="F36" s="12"/>
      <c r="G36" s="12"/>
      <c r="H36" s="12"/>
      <c r="I36" s="12"/>
      <c r="J36" s="12"/>
    </row>
    <row r="37" ht="15.6" spans="5:10">
      <c r="E37" s="10">
        <v>8</v>
      </c>
      <c r="F37" s="11" t="s">
        <v>102</v>
      </c>
      <c r="G37" s="12"/>
      <c r="H37" s="12"/>
      <c r="I37" s="12"/>
      <c r="J37" s="12"/>
    </row>
    <row r="38" ht="15.6" spans="5:10">
      <c r="E38" s="12"/>
      <c r="F38" s="13" t="s">
        <v>103</v>
      </c>
      <c r="G38" s="12">
        <v>573316</v>
      </c>
      <c r="H38" s="12">
        <v>41427943</v>
      </c>
      <c r="I38" s="12"/>
      <c r="J38" s="12"/>
    </row>
    <row r="39" ht="15.6" spans="5:10">
      <c r="E39" s="14" t="s">
        <v>74</v>
      </c>
      <c r="F39" s="17">
        <f>G38/H38</f>
        <v>0.0138388719903375</v>
      </c>
      <c r="G39" s="12"/>
      <c r="H39" s="12"/>
      <c r="I39" s="12"/>
      <c r="J39" s="12"/>
    </row>
    <row r="40" ht="15.6" spans="5:10">
      <c r="E40" s="12"/>
      <c r="F40" s="12"/>
      <c r="G40" s="12"/>
      <c r="H40" s="12"/>
      <c r="I40" s="12"/>
      <c r="J40" s="12"/>
    </row>
    <row r="41" ht="15.6" spans="5:10">
      <c r="E41" s="10">
        <v>9</v>
      </c>
      <c r="F41" s="11" t="s">
        <v>75</v>
      </c>
      <c r="G41" s="12"/>
      <c r="H41" s="12"/>
      <c r="I41" s="12"/>
      <c r="J41" s="12"/>
    </row>
    <row r="42" ht="15.6" spans="5:10">
      <c r="E42" s="12"/>
      <c r="F42" s="13" t="s">
        <v>104</v>
      </c>
      <c r="G42" s="12"/>
      <c r="H42" s="12"/>
      <c r="I42" s="12"/>
      <c r="J42" s="12"/>
    </row>
    <row r="43" ht="15.6" spans="5:10">
      <c r="E43" s="12"/>
      <c r="F43" s="13" t="s">
        <v>105</v>
      </c>
      <c r="G43" s="12">
        <v>36917218</v>
      </c>
      <c r="H43" s="12">
        <v>36917218</v>
      </c>
      <c r="I43" s="12"/>
      <c r="J43" s="12"/>
    </row>
    <row r="44" ht="15.6" spans="5:10">
      <c r="E44" s="14" t="s">
        <v>74</v>
      </c>
      <c r="F44" s="17">
        <f>G43/H43</f>
        <v>1</v>
      </c>
      <c r="G44" s="12"/>
      <c r="H44" s="12"/>
      <c r="I44" s="12"/>
      <c r="J44" s="12"/>
    </row>
    <row r="45" ht="15.6" spans="5:10">
      <c r="E45" s="12"/>
      <c r="F45" s="12"/>
      <c r="G45" s="12"/>
      <c r="H45" s="12"/>
      <c r="I45" s="12"/>
      <c r="J45" s="12"/>
    </row>
    <row r="46" ht="15.6" spans="5:10">
      <c r="E46" s="10">
        <v>10</v>
      </c>
      <c r="F46" s="11" t="s">
        <v>106</v>
      </c>
      <c r="G46" s="12"/>
      <c r="H46" s="12"/>
      <c r="I46" s="12"/>
      <c r="J46" s="12"/>
    </row>
    <row r="47" ht="15.6" spans="5:10">
      <c r="E47" s="12"/>
      <c r="F47" s="13" t="s">
        <v>107</v>
      </c>
      <c r="G47" s="12">
        <v>15620</v>
      </c>
      <c r="H47" s="12">
        <v>36917218</v>
      </c>
      <c r="I47" s="12"/>
      <c r="J47" s="12"/>
    </row>
    <row r="48" ht="15.6" spans="5:10">
      <c r="E48" s="12"/>
      <c r="F48" s="13" t="s">
        <v>108</v>
      </c>
      <c r="G48" s="12"/>
      <c r="H48" s="12"/>
      <c r="I48" s="12"/>
      <c r="J48" s="12"/>
    </row>
    <row r="49" ht="15.6" spans="5:10">
      <c r="E49" s="14" t="s">
        <v>74</v>
      </c>
      <c r="F49" s="17">
        <v>0.0423</v>
      </c>
      <c r="G49" s="12"/>
      <c r="H49" s="12"/>
      <c r="I49" s="12"/>
      <c r="J49" s="12"/>
    </row>
    <row r="50" ht="15.6" spans="5:10">
      <c r="E50" s="12"/>
      <c r="F50" s="12"/>
      <c r="G50" s="12"/>
      <c r="H50" s="12"/>
      <c r="I50" s="12"/>
      <c r="J50" s="12"/>
    </row>
    <row r="51" ht="15.6" spans="5:10">
      <c r="E51" s="10">
        <v>11</v>
      </c>
      <c r="F51" s="11" t="s">
        <v>109</v>
      </c>
      <c r="G51" s="12"/>
      <c r="H51" s="12"/>
      <c r="I51" s="12"/>
      <c r="J51" s="12"/>
    </row>
    <row r="52" ht="15.6" spans="5:10">
      <c r="E52" s="12"/>
      <c r="F52" s="13" t="s">
        <v>110</v>
      </c>
      <c r="G52" s="12">
        <v>24369377</v>
      </c>
      <c r="H52" s="12">
        <v>41427943</v>
      </c>
      <c r="I52" s="12"/>
      <c r="J52" s="12"/>
    </row>
    <row r="53" ht="15.6" spans="5:10">
      <c r="E53" s="12"/>
      <c r="F53" s="13" t="s">
        <v>111</v>
      </c>
      <c r="G53" s="12"/>
      <c r="H53" s="12"/>
      <c r="I53" s="12"/>
      <c r="J53" s="12"/>
    </row>
    <row r="54" ht="15.6" spans="5:10">
      <c r="E54" s="14" t="s">
        <v>74</v>
      </c>
      <c r="F54" s="21">
        <f>G52/H52</f>
        <v>0.58823526429975</v>
      </c>
      <c r="G54" s="12"/>
      <c r="H54" s="12"/>
      <c r="I54" s="12"/>
      <c r="J54" s="12"/>
    </row>
    <row r="55" ht="15.6" spans="5:10">
      <c r="E55" s="12"/>
      <c r="F55" s="12"/>
      <c r="G55" s="12"/>
      <c r="H55" s="12"/>
      <c r="I55" s="12"/>
      <c r="J55" s="12"/>
    </row>
    <row r="56" ht="15.6" spans="5:10">
      <c r="E56" s="10">
        <v>12</v>
      </c>
      <c r="F56" s="11" t="s">
        <v>112</v>
      </c>
      <c r="G56" s="12"/>
      <c r="H56" s="12"/>
      <c r="I56" s="12"/>
      <c r="J56" s="12"/>
    </row>
    <row r="57" ht="15.6" spans="5:10">
      <c r="E57" s="12"/>
      <c r="F57" s="13" t="s">
        <v>113</v>
      </c>
      <c r="G57" s="12"/>
      <c r="H57" s="12"/>
      <c r="I57" s="12"/>
      <c r="J57" s="12"/>
    </row>
    <row r="58" ht="15.6" spans="5:10">
      <c r="E58" s="12"/>
      <c r="F58" s="22" t="s">
        <v>114</v>
      </c>
      <c r="G58" s="12"/>
      <c r="H58" s="12"/>
      <c r="I58" s="12"/>
      <c r="J58" s="26"/>
    </row>
    <row r="59" ht="15.6" spans="5:10">
      <c r="E59" s="12"/>
      <c r="F59" s="13"/>
      <c r="G59" s="23">
        <v>41412323</v>
      </c>
      <c r="H59">
        <v>45011081</v>
      </c>
      <c r="I59" s="12"/>
      <c r="J59" s="12"/>
    </row>
    <row r="60" ht="15.6" spans="5:10">
      <c r="E60" s="14" t="s">
        <v>74</v>
      </c>
      <c r="F60" s="24">
        <f>G59/H59</f>
        <v>0.92004728791117</v>
      </c>
      <c r="G60" s="12"/>
      <c r="H60" s="12"/>
      <c r="I60" s="12"/>
      <c r="J60" s="26"/>
    </row>
    <row r="61" ht="15.6" spans="5:10">
      <c r="E61" s="14"/>
      <c r="F61" s="15"/>
      <c r="G61" s="12"/>
      <c r="H61" s="12"/>
      <c r="I61" s="12"/>
      <c r="J61" s="12"/>
    </row>
    <row r="62" ht="15.6" spans="5:10">
      <c r="E62" s="12"/>
      <c r="F62" s="12"/>
      <c r="G62" s="12"/>
      <c r="H62" s="12"/>
      <c r="I62" s="12"/>
      <c r="J62" s="12"/>
    </row>
    <row r="63" ht="15.6" spans="5:10">
      <c r="E63" s="10">
        <v>13</v>
      </c>
      <c r="F63" s="11" t="s">
        <v>115</v>
      </c>
      <c r="G63" s="12"/>
      <c r="H63" s="12"/>
      <c r="I63" s="12"/>
      <c r="J63" s="12"/>
    </row>
    <row r="64" ht="15.6" spans="5:10">
      <c r="E64" s="12"/>
      <c r="F64" s="13" t="s">
        <v>116</v>
      </c>
      <c r="G64" s="12">
        <v>-1596173</v>
      </c>
      <c r="H64" s="12">
        <v>60319779</v>
      </c>
      <c r="I64" s="12"/>
      <c r="J64" s="12"/>
    </row>
    <row r="65" ht="15.6" spans="5:10">
      <c r="E65" s="14" t="s">
        <v>74</v>
      </c>
      <c r="F65" s="24">
        <f>-1596173/60319779</f>
        <v>-0.0264618509295268</v>
      </c>
      <c r="G65" s="12"/>
      <c r="H65" s="12"/>
      <c r="I65" s="12"/>
      <c r="J65" s="12"/>
    </row>
    <row r="66" ht="15.6" spans="5:10">
      <c r="E66" s="12"/>
      <c r="F66" s="12"/>
      <c r="G66" s="12"/>
      <c r="H66" s="12"/>
      <c r="I66" s="12"/>
      <c r="J66" s="12"/>
    </row>
    <row r="67" ht="15.6" spans="5:10">
      <c r="E67" s="10">
        <v>14</v>
      </c>
      <c r="F67" s="11" t="s">
        <v>117</v>
      </c>
      <c r="G67" s="12"/>
      <c r="H67" s="12"/>
      <c r="I67" s="12"/>
      <c r="J67" s="12"/>
    </row>
    <row r="68" ht="15.6" spans="5:10">
      <c r="E68" s="12"/>
      <c r="F68" s="13" t="s">
        <v>118</v>
      </c>
      <c r="G68" s="12">
        <v>-1596173</v>
      </c>
      <c r="H68" s="12">
        <v>14550000</v>
      </c>
      <c r="I68" s="12"/>
      <c r="J68" s="12"/>
    </row>
    <row r="69" ht="15.6" spans="5:10">
      <c r="E69" s="14" t="s">
        <v>74</v>
      </c>
      <c r="F69" s="17">
        <f>-1596173/145500000</f>
        <v>-0.0109702611683849</v>
      </c>
      <c r="G69" s="12"/>
      <c r="H69" s="12"/>
      <c r="I69" s="12"/>
      <c r="J69" s="12"/>
    </row>
    <row r="70" ht="15.6" spans="5:10">
      <c r="E70" s="12"/>
      <c r="F70" s="12"/>
      <c r="G70" s="12"/>
      <c r="H70" s="12"/>
      <c r="I70" s="12"/>
      <c r="J70" s="12"/>
    </row>
    <row r="71" ht="15.6" spans="5:10">
      <c r="E71" s="10">
        <v>15</v>
      </c>
      <c r="F71" s="11" t="s">
        <v>119</v>
      </c>
      <c r="G71" s="12"/>
      <c r="H71" s="12"/>
      <c r="I71" s="12"/>
      <c r="J71" s="12"/>
    </row>
    <row r="72" ht="15.6" spans="5:10">
      <c r="E72" s="12"/>
      <c r="F72" s="13" t="s">
        <v>120</v>
      </c>
      <c r="G72" s="12">
        <v>-1596173</v>
      </c>
      <c r="H72" s="12">
        <v>4730623</v>
      </c>
      <c r="I72" s="12"/>
      <c r="J72" s="12"/>
    </row>
    <row r="73" ht="15.6" spans="5:10">
      <c r="E73" s="14" t="s">
        <v>74</v>
      </c>
      <c r="F73" s="17">
        <f>-1596173/4730623</f>
        <v>-0.337412852387519</v>
      </c>
      <c r="G73" s="12"/>
      <c r="H73" s="12"/>
      <c r="I73" s="12"/>
      <c r="J73" s="12"/>
    </row>
    <row r="74" ht="15.6" spans="5:10">
      <c r="E74" s="12"/>
      <c r="F74" s="12"/>
      <c r="G74" s="12"/>
      <c r="H74" s="12"/>
      <c r="I74" s="12"/>
      <c r="J74" s="12"/>
    </row>
    <row r="75" ht="15.6" spans="5:10">
      <c r="E75" s="10">
        <v>16</v>
      </c>
      <c r="F75" s="11" t="s">
        <v>121</v>
      </c>
      <c r="G75" s="12"/>
      <c r="H75" s="12"/>
      <c r="I75" s="12"/>
      <c r="J75" s="12"/>
    </row>
    <row r="76" ht="15.6" spans="5:10">
      <c r="E76" s="12"/>
      <c r="F76" s="12" t="s">
        <v>122</v>
      </c>
      <c r="G76" s="12"/>
      <c r="H76" s="12"/>
      <c r="I76" s="12"/>
      <c r="J76" s="12"/>
    </row>
    <row r="77" ht="15.6" spans="5:10">
      <c r="E77" s="12"/>
      <c r="F77" s="25" t="s">
        <v>123</v>
      </c>
      <c r="G77" s="12">
        <v>1596173</v>
      </c>
      <c r="H77" s="12">
        <v>2910000000</v>
      </c>
      <c r="I77" s="12"/>
      <c r="J77" s="12"/>
    </row>
    <row r="78" ht="15.6" spans="5:10">
      <c r="E78" s="14" t="s">
        <v>74</v>
      </c>
      <c r="F78" s="17">
        <v>-0.05485</v>
      </c>
      <c r="G78" s="12"/>
      <c r="H78" s="12"/>
      <c r="I78" s="12"/>
      <c r="J78" s="12"/>
    </row>
    <row r="79" ht="15.6" spans="5:10">
      <c r="E79" s="12"/>
      <c r="F79" s="12"/>
      <c r="G79" s="12"/>
      <c r="H79" s="12"/>
      <c r="I79" s="12"/>
      <c r="J79" s="12"/>
    </row>
    <row r="80" ht="15.6" spans="5:10">
      <c r="E80" s="10">
        <v>17</v>
      </c>
      <c r="F80" s="11" t="s">
        <v>124</v>
      </c>
      <c r="G80" s="12"/>
      <c r="H80" s="12"/>
      <c r="I80" s="12"/>
      <c r="J80" s="12"/>
    </row>
    <row r="81" ht="15.6" spans="5:10">
      <c r="E81" s="12"/>
      <c r="F81" s="13" t="s">
        <v>125</v>
      </c>
      <c r="G81" s="12">
        <v>45011081</v>
      </c>
      <c r="H81" s="12">
        <v>-5.485</v>
      </c>
      <c r="I81" s="12"/>
      <c r="J81" s="12"/>
    </row>
    <row r="82" ht="15.6" spans="5:10">
      <c r="E82" s="12"/>
      <c r="F82" s="13" t="s">
        <v>126</v>
      </c>
      <c r="G82" s="12"/>
      <c r="H82" s="12"/>
      <c r="I82" s="12"/>
      <c r="J82" s="12"/>
    </row>
    <row r="83" ht="15.6" spans="5:10">
      <c r="E83" s="14" t="s">
        <v>74</v>
      </c>
      <c r="F83" s="17">
        <v>-0.08</v>
      </c>
      <c r="G83" s="12"/>
      <c r="H83" s="12"/>
      <c r="I83" s="12"/>
      <c r="J83" s="12"/>
    </row>
    <row r="84" ht="15.6" spans="5:10">
      <c r="E84" s="27"/>
      <c r="F84" s="27"/>
      <c r="G84" s="27"/>
      <c r="H84" s="27"/>
      <c r="I84" s="27"/>
      <c r="J84" s="27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2023-06-11T05:30:22Z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8B934D736D1B4DDD808DEA9C6345F04A</vt:lpwstr>
  </property>
  <property fmtid="{D5CDD505-2E9C-101B-9397-08002B2CF9AE}" pid="3" name="KSOProductBuildVer">
    <vt:lpwstr>1033-11.2.0.11537</vt:lpwstr>
  </property>
</Properties>
</file>