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15"/>
  </bookViews>
  <sheets>
    <sheet name="Balancesheet" sheetId="1" r:id="rId1"/>
    <sheet name="P&amp;L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<sst xmlns="http://schemas.openxmlformats.org/spreadsheetml/2006/main" count="94" uniqueCount="87">
  <si>
    <t>Particulars</t>
  </si>
  <si>
    <t>Note</t>
  </si>
  <si>
    <t>As at 
March 31, 2022(Current year)</t>
  </si>
  <si>
    <t>As at 
March 31, 2021(Base year)</t>
  </si>
  <si>
    <t xml:space="preserve">Change </t>
  </si>
  <si>
    <t>% of change</t>
  </si>
  <si>
    <t>common size</t>
  </si>
  <si>
    <t>ASSETS</t>
  </si>
  <si>
    <t>Non-current assets</t>
  </si>
  <si>
    <t xml:space="preserve">Property, plant and equipment </t>
  </si>
  <si>
    <t>Capital work in progress</t>
  </si>
  <si>
    <t xml:space="preserve">Right-of-use assets </t>
  </si>
  <si>
    <t xml:space="preserve">Goodwill </t>
  </si>
  <si>
    <t xml:space="preserve">Other intangible assets </t>
  </si>
  <si>
    <t xml:space="preserve">           Financial assets</t>
  </si>
  <si>
    <t xml:space="preserve">Other non-current assets </t>
  </si>
  <si>
    <t xml:space="preserve">Other assets  
 </t>
  </si>
  <si>
    <t xml:space="preserve">Current assets </t>
  </si>
  <si>
    <t xml:space="preserve">Inventories </t>
  </si>
  <si>
    <t>Financial assets</t>
  </si>
  <si>
    <t xml:space="preserve">a) Investments </t>
  </si>
  <si>
    <t>b) Trade receivables</t>
  </si>
  <si>
    <t xml:space="preserve">c) Cash and cash equivalents </t>
  </si>
  <si>
    <t xml:space="preserve">d) Bank balances other than cash and cash equivalents </t>
  </si>
  <si>
    <t xml:space="preserve">e) Other financial assets </t>
  </si>
  <si>
    <t xml:space="preserve">Other current assets </t>
  </si>
  <si>
    <t>TOTAL</t>
  </si>
  <si>
    <t>EQUITY AND LIABILITIES</t>
  </si>
  <si>
    <t>Equity</t>
  </si>
  <si>
    <t xml:space="preserve">    a) Equity share capital </t>
  </si>
  <si>
    <t xml:space="preserve">    b) Instruments in the nature of equity </t>
  </si>
  <si>
    <t xml:space="preserve">- </t>
  </si>
  <si>
    <t xml:space="preserve">    c) Other equity </t>
  </si>
  <si>
    <t xml:space="preserve">Non-current liabilities </t>
  </si>
  <si>
    <t xml:space="preserve">Financial liabilities </t>
  </si>
  <si>
    <t xml:space="preserve">     a) Borrowings </t>
  </si>
  <si>
    <t xml:space="preserve">     b) Lease liabilities </t>
  </si>
  <si>
    <t xml:space="preserve">Other non-current liabilities </t>
  </si>
  <si>
    <t xml:space="preserve">Provisions </t>
  </si>
  <si>
    <t xml:space="preserve">Deferred tax liabilities (net) </t>
  </si>
  <si>
    <t>Current liabilities</t>
  </si>
  <si>
    <t>Financial liabilities</t>
  </si>
  <si>
    <t xml:space="preserve">   a) Borrowings </t>
  </si>
  <si>
    <t xml:space="preserve">   b) Lease liabilities </t>
  </si>
  <si>
    <t xml:space="preserve">   c) Trade payables - total outstanding dues of:</t>
  </si>
  <si>
    <t xml:space="preserve">    -micro and small enterprises </t>
  </si>
  <si>
    <t xml:space="preserve">    -creditors other than micro and small enterprises </t>
  </si>
  <si>
    <t xml:space="preserve">   d) Other financial liabilities </t>
  </si>
  <si>
    <t xml:space="preserve">Other current liabilities </t>
  </si>
  <si>
    <t>Liabilities for income tax (net)</t>
  </si>
  <si>
    <t>Total</t>
  </si>
  <si>
    <t xml:space="preserve">Particulars </t>
  </si>
  <si>
    <t xml:space="preserve">Note </t>
  </si>
  <si>
    <t>Year ended  March 3/31/2022(Current year)</t>
  </si>
  <si>
    <t>Year ended
March 31, 2021(Base year)</t>
  </si>
  <si>
    <t xml:space="preserve">change </t>
  </si>
  <si>
    <t>Common Size</t>
  </si>
  <si>
    <t>Income</t>
  </si>
  <si>
    <t xml:space="preserve">Revenue from operations </t>
  </si>
  <si>
    <t xml:space="preserve">Other income </t>
  </si>
  <si>
    <t>Total income (I)</t>
  </si>
  <si>
    <t xml:space="preserve">Expenses </t>
  </si>
  <si>
    <t xml:space="preserve">Cost of raw materials and components consumed </t>
  </si>
  <si>
    <t>Purchase of traded goods</t>
  </si>
  <si>
    <t xml:space="preserve">(Increase) in inventories of finished goods and traded goods </t>
  </si>
  <si>
    <t xml:space="preserve">Employee benefits expense </t>
  </si>
  <si>
    <t xml:space="preserve">Finance costs </t>
  </si>
  <si>
    <t xml:space="preserve">Depreciation and amortization expense </t>
  </si>
  <si>
    <t xml:space="preserve">Other expenses </t>
  </si>
  <si>
    <t>Total expenses (II)</t>
  </si>
  <si>
    <t>Profit before tax (III) = (I - II)</t>
  </si>
  <si>
    <t>Tax expense</t>
  </si>
  <si>
    <t xml:space="preserve">Current tax </t>
  </si>
  <si>
    <t>Adjustment of tax relating to earlier periods</t>
  </si>
  <si>
    <t>Deferred tax</t>
  </si>
  <si>
    <t>Total tax expense</t>
  </si>
  <si>
    <t>Profit for the year, after tax</t>
  </si>
  <si>
    <t xml:space="preserve">Items not to be reclassified to profit or loss in subsequent periods </t>
  </si>
  <si>
    <t xml:space="preserve">   Re-measurement gain/ (loss) on defined benefit plans</t>
  </si>
  <si>
    <t xml:space="preserve">   Income tax effect </t>
  </si>
  <si>
    <t xml:space="preserve">Net other comprehensive income not to be reclassified to </t>
  </si>
  <si>
    <t xml:space="preserve">profit or loss in subsequent periods </t>
  </si>
  <si>
    <t>Total comprehensive income for the year, net of tax</t>
  </si>
  <si>
    <t xml:space="preserve">Earnings per equity share (face value Rs.10) </t>
  </si>
  <si>
    <t xml:space="preserve">Computed on the basis of profit for the year </t>
  </si>
  <si>
    <t xml:space="preserve">   - Basic (Amount in Rs.) </t>
  </si>
  <si>
    <t xml:space="preserve">   - Diluted (Amount in Rs.)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</si>
</sst>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2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22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9" fillId="21" borderId="0" applyNumberFormat="0" applyBorder="0" applyAlignment="0" applyProtection="0"/>
    <xf numFmtId="0" fontId="21" fillId="23" borderId="6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2" fillId="23" borderId="5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23" applyFont="1" applyFill="1"/>
    <xf numFmtId="15" fontId="3" fillId="2" borderId="0" xfId="23" applyNumberFormat="1" applyFont="1" applyFill="1" applyAlignment="1">
      <alignment wrapText="1"/>
    </xf>
    <xf numFmtId="0" fontId="3" fillId="2" borderId="0" xfId="23" applyFont="1" applyFill="1" applyAlignment="1">
      <alignment horizontal="center"/>
    </xf>
    <xf numFmtId="0" fontId="4" fillId="0" borderId="0" xfId="0" applyFont="1"/>
    <xf numFmtId="0" fontId="5" fillId="0" borderId="0" xfId="0" applyFont="1"/>
    <xf numFmtId="15" fontId="4" fillId="0" borderId="0" xfId="0" applyNumberFormat="1" applyFont="1"/>
    <xf numFmtId="4" fontId="5" fillId="0" borderId="0" xfId="0" applyNumberFormat="1" applyFont="1"/>
    <xf numFmtId="4" fontId="1" fillId="0" borderId="0" xfId="0" applyNumberFormat="1" applyFont="1"/>
    <xf numFmtId="9" fontId="0" fillId="0" borderId="0" xfId="6" applyFont="1" applyAlignment="1"/>
    <xf numFmtId="4" fontId="4" fillId="0" borderId="0" xfId="0" applyNumberFormat="1" applyFont="1"/>
    <xf numFmtId="0" fontId="0" fillId="0" borderId="0" xfId="0" applyAlignment="1">
      <alignment horizontal="center"/>
    </xf>
    <xf numFmtId="0" fontId="2" fillId="2" borderId="0" xfId="23" applyFont="1" applyFill="1" applyAlignment="1">
      <alignment horizontal="center"/>
    </xf>
    <xf numFmtId="0" fontId="2" fillId="2" borderId="0" xfId="23" applyFont="1" applyFill="1" applyAlignment="1">
      <alignment horizontal="center" wrapText="1"/>
    </xf>
    <xf numFmtId="2" fontId="0" fillId="0" borderId="0" xfId="6" applyNumberFormat="1" applyFont="1" applyAlignment="1">
      <alignment horizontal="center"/>
    </xf>
    <xf numFmtId="9" fontId="0" fillId="0" borderId="0" xfId="6" applyFont="1" applyAlignment="1">
      <alignment horizontal="center"/>
    </xf>
    <xf numFmtId="0" fontId="5" fillId="0" borderId="0" xfId="0" applyFont="1" applyAlignment="1">
      <alignment wrapText="1"/>
    </xf>
    <xf numFmtId="4" fontId="0" fillId="0" borderId="0" xfId="0" applyNumberFormat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workbookViewId="0">
      <selection activeCell="G1" sqref="G$1:G$1048576"/>
    </sheetView>
  </sheetViews>
  <sheetFormatPr defaultColWidth="9" defaultRowHeight="14.4" outlineLevelCol="6"/>
  <cols>
    <col min="1" max="1" width="44.6666666666667" customWidth="1"/>
    <col min="2" max="2" width="27.4444444444444" customWidth="1"/>
    <col min="3" max="3" width="30.6666666666667" customWidth="1"/>
    <col min="4" max="4" width="33.5555555555556" customWidth="1"/>
    <col min="5" max="5" width="17.5555555555556" style="13" customWidth="1"/>
    <col min="6" max="6" width="23.1111111111111" customWidth="1"/>
    <col min="7" max="7" width="19" style="13" customWidth="1"/>
  </cols>
  <sheetData>
    <row r="1" s="13" customFormat="1" ht="28.8" spans="1:7">
      <c r="A1" s="14" t="s">
        <v>0</v>
      </c>
      <c r="B1" s="14" t="s">
        <v>1</v>
      </c>
      <c r="C1" s="15" t="s">
        <v>2</v>
      </c>
      <c r="D1" s="15" t="s">
        <v>3</v>
      </c>
      <c r="E1" s="14" t="s">
        <v>4</v>
      </c>
      <c r="F1" s="14" t="s">
        <v>5</v>
      </c>
      <c r="G1" s="14" t="s">
        <v>6</v>
      </c>
    </row>
    <row r="2" spans="1:4">
      <c r="A2" s="6" t="s">
        <v>7</v>
      </c>
      <c r="B2" s="7"/>
      <c r="C2" s="7"/>
      <c r="D2" s="7"/>
    </row>
    <row r="3" spans="1:4">
      <c r="A3" s="6" t="s">
        <v>8</v>
      </c>
      <c r="B3" s="7"/>
      <c r="C3" s="7"/>
      <c r="D3" s="7"/>
    </row>
    <row r="4" spans="1:7">
      <c r="A4" s="7" t="s">
        <v>9</v>
      </c>
      <c r="B4" s="7">
        <v>3.1</v>
      </c>
      <c r="C4" s="7">
        <v>18919.7</v>
      </c>
      <c r="D4" s="7">
        <v>18822.99</v>
      </c>
      <c r="E4" s="16">
        <f>C4-D4</f>
        <v>96.7099999999991</v>
      </c>
      <c r="F4" s="11">
        <f>E4/D4</f>
        <v>0.005137865981972</v>
      </c>
      <c r="G4" s="17">
        <f>C4/$C$24</f>
        <v>0.205674510577675</v>
      </c>
    </row>
    <row r="5" spans="1:7">
      <c r="A5" s="7" t="s">
        <v>10</v>
      </c>
      <c r="B5" s="7">
        <v>3.1</v>
      </c>
      <c r="C5" s="9">
        <v>5097.27</v>
      </c>
      <c r="D5" s="7">
        <v>311.54</v>
      </c>
      <c r="E5" s="16">
        <f t="shared" ref="E5:E24" si="0">C5-D5</f>
        <v>4785.73</v>
      </c>
      <c r="F5" s="11">
        <f t="shared" ref="F5:F51" si="1">E5/D5</f>
        <v>15.3615266097451</v>
      </c>
      <c r="G5" s="17">
        <f t="shared" ref="G5:G51" si="2">C5/$C$24</f>
        <v>0.0554120050810672</v>
      </c>
    </row>
    <row r="6" spans="1:7">
      <c r="A6" s="7" t="s">
        <v>11</v>
      </c>
      <c r="B6" s="7">
        <v>3.2</v>
      </c>
      <c r="C6" s="7">
        <v>3320.43</v>
      </c>
      <c r="D6" s="7">
        <v>3009.14</v>
      </c>
      <c r="E6" s="16">
        <f t="shared" si="0"/>
        <v>311.29</v>
      </c>
      <c r="F6" s="11">
        <f t="shared" si="1"/>
        <v>0.103448161268668</v>
      </c>
      <c r="G6" s="17">
        <f t="shared" si="2"/>
        <v>0.0360961228326786</v>
      </c>
    </row>
    <row r="7" spans="1:7">
      <c r="A7" s="7" t="s">
        <v>12</v>
      </c>
      <c r="B7" s="7">
        <v>3.3</v>
      </c>
      <c r="C7" s="9">
        <v>3055.2</v>
      </c>
      <c r="D7" s="9">
        <v>3055.2</v>
      </c>
      <c r="E7" s="16">
        <f t="shared" si="0"/>
        <v>0</v>
      </c>
      <c r="F7" s="11">
        <f t="shared" si="1"/>
        <v>0</v>
      </c>
      <c r="G7" s="17">
        <f t="shared" si="2"/>
        <v>0.0332128292053739</v>
      </c>
    </row>
    <row r="8" spans="1:7">
      <c r="A8" s="7" t="s">
        <v>13</v>
      </c>
      <c r="B8" s="9">
        <v>3.3</v>
      </c>
      <c r="C8" s="7">
        <v>38.38</v>
      </c>
      <c r="D8" s="7">
        <v>46.1</v>
      </c>
      <c r="E8" s="16">
        <f t="shared" si="0"/>
        <v>-7.72</v>
      </c>
      <c r="F8" s="11">
        <f t="shared" si="1"/>
        <v>-0.167462039045553</v>
      </c>
      <c r="G8" s="17">
        <f t="shared" si="2"/>
        <v>0.000417225839520245</v>
      </c>
    </row>
    <row r="9" spans="1:7">
      <c r="A9" s="7" t="s">
        <v>14</v>
      </c>
      <c r="B9" s="7"/>
      <c r="C9" s="7"/>
      <c r="D9" s="7"/>
      <c r="E9" s="16">
        <f t="shared" si="0"/>
        <v>0</v>
      </c>
      <c r="F9" s="11"/>
      <c r="G9" s="17">
        <f t="shared" si="2"/>
        <v>0</v>
      </c>
    </row>
    <row r="10" spans="1:7">
      <c r="A10" s="7" t="s">
        <v>15</v>
      </c>
      <c r="B10" s="7">
        <v>5</v>
      </c>
      <c r="C10" s="7">
        <v>155.21</v>
      </c>
      <c r="D10" s="9">
        <v>1597.11</v>
      </c>
      <c r="E10" s="16">
        <f t="shared" si="0"/>
        <v>-1441.9</v>
      </c>
      <c r="F10" s="11">
        <f t="shared" si="1"/>
        <v>-0.902818215401569</v>
      </c>
      <c r="G10" s="17">
        <f t="shared" si="2"/>
        <v>0.00168727520979513</v>
      </c>
    </row>
    <row r="11" ht="28.8" spans="1:7">
      <c r="A11" s="18" t="s">
        <v>16</v>
      </c>
      <c r="B11" s="7">
        <v>9</v>
      </c>
      <c r="C11" s="9">
        <v>4163.39</v>
      </c>
      <c r="D11" s="7">
        <v>34.41</v>
      </c>
      <c r="E11" s="16">
        <f t="shared" si="0"/>
        <v>4128.98</v>
      </c>
      <c r="F11" s="11">
        <f t="shared" si="1"/>
        <v>119.993606509736</v>
      </c>
      <c r="G11" s="17">
        <f t="shared" si="2"/>
        <v>0.0452598720166803</v>
      </c>
    </row>
    <row r="12" spans="1:7">
      <c r="A12" s="7"/>
      <c r="B12" s="9"/>
      <c r="C12" s="7">
        <v>34749.58</v>
      </c>
      <c r="D12" s="9">
        <v>26876.49</v>
      </c>
      <c r="E12" s="16">
        <f t="shared" si="0"/>
        <v>7873.09</v>
      </c>
      <c r="F12" s="11">
        <f t="shared" si="1"/>
        <v>0.292935945132716</v>
      </c>
      <c r="G12" s="17">
        <f t="shared" si="2"/>
        <v>0.377759840762791</v>
      </c>
    </row>
    <row r="13" spans="1:7">
      <c r="A13" s="7"/>
      <c r="B13" s="9"/>
      <c r="C13" s="7"/>
      <c r="D13" s="9"/>
      <c r="E13" s="16">
        <f t="shared" si="0"/>
        <v>0</v>
      </c>
      <c r="F13" s="11"/>
      <c r="G13" s="17">
        <f t="shared" si="2"/>
        <v>0</v>
      </c>
    </row>
    <row r="14" spans="1:7">
      <c r="A14" s="6" t="s">
        <v>17</v>
      </c>
      <c r="B14" s="7">
        <v>6</v>
      </c>
      <c r="C14" s="9">
        <v>11771.93</v>
      </c>
      <c r="D14" s="9">
        <v>9467.47</v>
      </c>
      <c r="E14" s="16">
        <f t="shared" si="0"/>
        <v>2304.46</v>
      </c>
      <c r="F14" s="11">
        <f t="shared" si="1"/>
        <v>0.243408217823769</v>
      </c>
      <c r="G14" s="17">
        <f t="shared" si="2"/>
        <v>0.127971687780707</v>
      </c>
    </row>
    <row r="15" spans="1:7">
      <c r="A15" s="7" t="s">
        <v>18</v>
      </c>
      <c r="B15" s="7"/>
      <c r="C15" s="7"/>
      <c r="D15" s="7"/>
      <c r="E15" s="16"/>
      <c r="F15" s="11"/>
      <c r="G15" s="17">
        <f t="shared" si="2"/>
        <v>0</v>
      </c>
    </row>
    <row r="16" spans="1:7">
      <c r="A16" s="7" t="s">
        <v>19</v>
      </c>
      <c r="B16" s="7"/>
      <c r="C16" s="7"/>
      <c r="D16" s="7"/>
      <c r="E16" s="16"/>
      <c r="F16" s="11"/>
      <c r="G16" s="17">
        <f t="shared" si="2"/>
        <v>0</v>
      </c>
    </row>
    <row r="17" spans="1:7">
      <c r="A17" s="7" t="s">
        <v>20</v>
      </c>
      <c r="B17" s="7">
        <v>4</v>
      </c>
      <c r="C17" s="9">
        <v>17309.54</v>
      </c>
      <c r="D17" s="9">
        <v>4967.93</v>
      </c>
      <c r="E17" s="16">
        <f t="shared" si="0"/>
        <v>12341.61</v>
      </c>
      <c r="F17" s="11">
        <f t="shared" si="1"/>
        <v>2.48425601810009</v>
      </c>
      <c r="G17" s="17">
        <f t="shared" si="2"/>
        <v>0.188170592970538</v>
      </c>
    </row>
    <row r="18" spans="1:7">
      <c r="A18" s="7" t="s">
        <v>21</v>
      </c>
      <c r="B18" s="7">
        <v>7</v>
      </c>
      <c r="C18" s="9">
        <v>17165.25</v>
      </c>
      <c r="D18" s="9">
        <v>12119.16</v>
      </c>
      <c r="E18" s="16">
        <f t="shared" si="0"/>
        <v>5046.09</v>
      </c>
      <c r="F18" s="11">
        <f t="shared" si="1"/>
        <v>0.416372916934837</v>
      </c>
      <c r="G18" s="17">
        <f t="shared" si="2"/>
        <v>0.186602028187204</v>
      </c>
    </row>
    <row r="19" spans="1:7">
      <c r="A19" s="7" t="s">
        <v>22</v>
      </c>
      <c r="B19" s="7">
        <v>8.1</v>
      </c>
      <c r="C19" s="7">
        <v>3553.27</v>
      </c>
      <c r="D19" s="7">
        <v>4479.89</v>
      </c>
      <c r="E19" s="16">
        <f t="shared" si="0"/>
        <v>-926.62</v>
      </c>
      <c r="F19" s="11">
        <f t="shared" si="1"/>
        <v>-0.206839900086833</v>
      </c>
      <c r="G19" s="17">
        <f t="shared" si="2"/>
        <v>0.0386273074203257</v>
      </c>
    </row>
    <row r="20" spans="1:7">
      <c r="A20" s="7" t="s">
        <v>23</v>
      </c>
      <c r="B20" s="7">
        <v>8.2</v>
      </c>
      <c r="C20" s="9">
        <v>6408.85</v>
      </c>
      <c r="D20" s="9">
        <v>21351.16</v>
      </c>
      <c r="E20" s="16">
        <f t="shared" si="0"/>
        <v>-14942.31</v>
      </c>
      <c r="F20" s="11">
        <f t="shared" si="1"/>
        <v>-0.699835980808537</v>
      </c>
      <c r="G20" s="17">
        <f t="shared" si="2"/>
        <v>0.0696700839397947</v>
      </c>
    </row>
    <row r="21" spans="1:7">
      <c r="A21" s="7" t="s">
        <v>24</v>
      </c>
      <c r="B21" s="7">
        <v>5</v>
      </c>
      <c r="C21" s="7">
        <v>9.02</v>
      </c>
      <c r="D21" s="9">
        <v>1091.64</v>
      </c>
      <c r="E21" s="16">
        <f t="shared" si="0"/>
        <v>-1082.62</v>
      </c>
      <c r="F21" s="11">
        <f t="shared" si="1"/>
        <v>-0.99173720274083</v>
      </c>
      <c r="G21" s="17">
        <f t="shared" si="2"/>
        <v>9.80556819299793e-5</v>
      </c>
    </row>
    <row r="22" spans="1:7">
      <c r="A22" s="7" t="s">
        <v>25</v>
      </c>
      <c r="B22" s="7">
        <v>9</v>
      </c>
      <c r="C22" s="9">
        <v>1021.11</v>
      </c>
      <c r="D22" s="7">
        <v>762.58</v>
      </c>
      <c r="E22" s="16">
        <f t="shared" si="0"/>
        <v>258.53</v>
      </c>
      <c r="F22" s="11">
        <f t="shared" si="1"/>
        <v>0.339020168375777</v>
      </c>
      <c r="G22" s="17">
        <f t="shared" si="2"/>
        <v>0.0111004032567097</v>
      </c>
    </row>
    <row r="23" spans="1:7">
      <c r="A23" s="7"/>
      <c r="B23" s="7"/>
      <c r="C23" s="12">
        <v>57238.97</v>
      </c>
      <c r="D23" s="12">
        <v>54239.83</v>
      </c>
      <c r="E23" s="16">
        <f t="shared" si="0"/>
        <v>2999.14</v>
      </c>
      <c r="F23" s="11">
        <f t="shared" si="1"/>
        <v>0.0552940523596774</v>
      </c>
      <c r="G23" s="17">
        <f t="shared" si="2"/>
        <v>0.622240159237209</v>
      </c>
    </row>
    <row r="24" spans="1:7">
      <c r="A24" s="6" t="s">
        <v>26</v>
      </c>
      <c r="B24" s="7"/>
      <c r="C24" s="12">
        <v>91988.55</v>
      </c>
      <c r="D24" s="12">
        <v>81116.32</v>
      </c>
      <c r="E24" s="16">
        <f t="shared" si="0"/>
        <v>10872.23</v>
      </c>
      <c r="F24" s="11">
        <f t="shared" si="1"/>
        <v>0.134032584318421</v>
      </c>
      <c r="G24" s="17">
        <f t="shared" si="2"/>
        <v>1</v>
      </c>
    </row>
    <row r="25" spans="1:7">
      <c r="A25" s="6" t="s">
        <v>27</v>
      </c>
      <c r="B25" s="7"/>
      <c r="C25" s="7"/>
      <c r="D25" s="7"/>
      <c r="F25" s="11"/>
      <c r="G25" s="17">
        <f t="shared" si="2"/>
        <v>0</v>
      </c>
    </row>
    <row r="26" spans="1:7">
      <c r="A26" s="6" t="s">
        <v>28</v>
      </c>
      <c r="B26" s="7"/>
      <c r="C26" s="7"/>
      <c r="D26" s="7"/>
      <c r="F26" s="11"/>
      <c r="G26" s="17">
        <f t="shared" si="2"/>
        <v>0</v>
      </c>
    </row>
    <row r="27" spans="1:7">
      <c r="A27" s="7" t="s">
        <v>29</v>
      </c>
      <c r="B27" s="7">
        <v>10.1</v>
      </c>
      <c r="C27" s="9">
        <v>4756.9</v>
      </c>
      <c r="D27" s="9">
        <v>4756.9</v>
      </c>
      <c r="E27" s="19">
        <f>C27-D27</f>
        <v>0</v>
      </c>
      <c r="F27" s="11">
        <f t="shared" si="1"/>
        <v>0</v>
      </c>
      <c r="G27" s="17">
        <f t="shared" si="2"/>
        <v>0.0517118706621639</v>
      </c>
    </row>
    <row r="28" spans="1:7">
      <c r="A28" s="7" t="s">
        <v>30</v>
      </c>
      <c r="B28" s="7">
        <v>10.2</v>
      </c>
      <c r="C28" s="7" t="s">
        <v>31</v>
      </c>
      <c r="D28" s="7" t="s">
        <v>31</v>
      </c>
      <c r="E28" s="19"/>
      <c r="F28" s="11"/>
      <c r="G28" s="17"/>
    </row>
    <row r="29" spans="1:7">
      <c r="A29" s="7" t="s">
        <v>32</v>
      </c>
      <c r="B29" s="7">
        <v>11</v>
      </c>
      <c r="C29" s="9">
        <v>60228.94</v>
      </c>
      <c r="D29" s="9">
        <v>51592.07</v>
      </c>
      <c r="E29" s="19">
        <f t="shared" ref="E29:E51" si="3">C29-D29</f>
        <v>8636.87</v>
      </c>
      <c r="F29" s="11">
        <f t="shared" si="1"/>
        <v>0.167406929010602</v>
      </c>
      <c r="G29" s="17">
        <f t="shared" si="2"/>
        <v>0.65474387845009</v>
      </c>
    </row>
    <row r="30" spans="1:7">
      <c r="A30" s="7"/>
      <c r="B30" s="7"/>
      <c r="C30" s="12">
        <v>64985.84</v>
      </c>
      <c r="D30" s="12">
        <v>56348.97</v>
      </c>
      <c r="E30" s="19">
        <f t="shared" si="3"/>
        <v>8636.87</v>
      </c>
      <c r="F30" s="11">
        <f t="shared" si="1"/>
        <v>0.153274673876026</v>
      </c>
      <c r="G30" s="17">
        <f t="shared" si="2"/>
        <v>0.706455749112254</v>
      </c>
    </row>
    <row r="31" spans="1:7">
      <c r="A31" s="6" t="s">
        <v>33</v>
      </c>
      <c r="B31" s="7"/>
      <c r="C31" s="7"/>
      <c r="D31" s="7"/>
      <c r="E31" s="19"/>
      <c r="F31" s="11"/>
      <c r="G31" s="17">
        <f t="shared" si="2"/>
        <v>0</v>
      </c>
    </row>
    <row r="32" spans="1:7">
      <c r="A32" s="7" t="s">
        <v>34</v>
      </c>
      <c r="B32" s="7"/>
      <c r="C32" s="7"/>
      <c r="D32" s="7"/>
      <c r="E32" s="19"/>
      <c r="F32" s="11"/>
      <c r="G32" s="17">
        <f t="shared" si="2"/>
        <v>0</v>
      </c>
    </row>
    <row r="33" spans="1:7">
      <c r="A33" s="7" t="s">
        <v>35</v>
      </c>
      <c r="B33" s="7">
        <v>12.1</v>
      </c>
      <c r="C33" s="7" t="s">
        <v>31</v>
      </c>
      <c r="D33" s="7" t="s">
        <v>31</v>
      </c>
      <c r="E33" s="19"/>
      <c r="F33" s="11"/>
      <c r="G33" s="17"/>
    </row>
    <row r="34" spans="1:7">
      <c r="A34" s="7" t="s">
        <v>36</v>
      </c>
      <c r="B34" s="7">
        <v>35</v>
      </c>
      <c r="C34" s="7">
        <v>774.1</v>
      </c>
      <c r="D34" s="7">
        <v>549.58</v>
      </c>
      <c r="E34" s="19">
        <f t="shared" si="3"/>
        <v>224.52</v>
      </c>
      <c r="F34" s="11">
        <f t="shared" si="1"/>
        <v>0.40853015029659</v>
      </c>
      <c r="G34" s="17">
        <f t="shared" si="2"/>
        <v>0.00841517775853625</v>
      </c>
    </row>
    <row r="35" spans="1:7">
      <c r="A35" s="7" t="s">
        <v>37</v>
      </c>
      <c r="B35" s="7">
        <v>15</v>
      </c>
      <c r="C35" s="7">
        <v>484.26</v>
      </c>
      <c r="D35" s="7">
        <v>429.65</v>
      </c>
      <c r="E35" s="19">
        <f t="shared" si="3"/>
        <v>54.61</v>
      </c>
      <c r="F35" s="11">
        <f t="shared" si="1"/>
        <v>0.127103456301641</v>
      </c>
      <c r="G35" s="17">
        <f t="shared" si="2"/>
        <v>0.00526435083496805</v>
      </c>
    </row>
    <row r="36" spans="1:7">
      <c r="A36" s="7" t="s">
        <v>38</v>
      </c>
      <c r="B36" s="7">
        <v>16</v>
      </c>
      <c r="C36" s="7">
        <v>475.04</v>
      </c>
      <c r="D36" s="7">
        <v>252.53</v>
      </c>
      <c r="E36" s="19">
        <f t="shared" si="3"/>
        <v>222.51</v>
      </c>
      <c r="F36" s="11">
        <f t="shared" si="1"/>
        <v>0.881123034886944</v>
      </c>
      <c r="G36" s="17">
        <f t="shared" si="2"/>
        <v>0.00516412096940326</v>
      </c>
    </row>
    <row r="37" spans="1:7">
      <c r="A37" s="7" t="s">
        <v>39</v>
      </c>
      <c r="B37" s="7">
        <v>17</v>
      </c>
      <c r="C37" s="7">
        <v>847.12</v>
      </c>
      <c r="D37" s="7">
        <v>695.22</v>
      </c>
      <c r="E37" s="19">
        <f t="shared" si="3"/>
        <v>151.9</v>
      </c>
      <c r="F37" s="11">
        <f t="shared" si="1"/>
        <v>0.218491988147637</v>
      </c>
      <c r="G37" s="17">
        <f t="shared" si="2"/>
        <v>0.00920897220360577</v>
      </c>
    </row>
    <row r="38" spans="1:7">
      <c r="A38" s="7"/>
      <c r="B38" s="7"/>
      <c r="C38" s="12">
        <v>2580.52</v>
      </c>
      <c r="D38" s="12">
        <v>1926.98</v>
      </c>
      <c r="E38" s="19">
        <f t="shared" si="3"/>
        <v>653.54</v>
      </c>
      <c r="F38" s="11">
        <f t="shared" si="1"/>
        <v>0.339152456174947</v>
      </c>
      <c r="G38" s="17">
        <f t="shared" si="2"/>
        <v>0.0280526217665133</v>
      </c>
    </row>
    <row r="39" spans="1:7">
      <c r="A39" s="6" t="s">
        <v>40</v>
      </c>
      <c r="B39" s="7"/>
      <c r="C39" s="12"/>
      <c r="D39" s="12"/>
      <c r="E39" s="19"/>
      <c r="F39" s="11"/>
      <c r="G39" s="17">
        <f t="shared" si="2"/>
        <v>0</v>
      </c>
    </row>
    <row r="40" spans="1:7">
      <c r="A40" s="18" t="s">
        <v>41</v>
      </c>
      <c r="B40" s="7"/>
      <c r="C40" s="7"/>
      <c r="D40" s="7"/>
      <c r="E40" s="19"/>
      <c r="F40" s="11"/>
      <c r="G40" s="17">
        <f t="shared" si="2"/>
        <v>0</v>
      </c>
    </row>
    <row r="41" spans="1:7">
      <c r="A41" s="7" t="s">
        <v>42</v>
      </c>
      <c r="B41" s="7">
        <v>12.2</v>
      </c>
      <c r="C41" s="7" t="s">
        <v>31</v>
      </c>
      <c r="D41" s="7">
        <v>3.28</v>
      </c>
      <c r="E41" s="19"/>
      <c r="F41" s="11">
        <f t="shared" si="1"/>
        <v>0</v>
      </c>
      <c r="G41" s="17"/>
    </row>
    <row r="42" spans="1:7">
      <c r="A42" s="7" t="s">
        <v>43</v>
      </c>
      <c r="B42" s="7">
        <v>35</v>
      </c>
      <c r="C42" s="7">
        <v>469.54</v>
      </c>
      <c r="D42" s="7">
        <v>325.13</v>
      </c>
      <c r="E42" s="19">
        <f t="shared" si="3"/>
        <v>144.41</v>
      </c>
      <c r="F42" s="11">
        <f t="shared" si="1"/>
        <v>0.444160797219574</v>
      </c>
      <c r="G42" s="17">
        <f t="shared" si="2"/>
        <v>0.00510433091944595</v>
      </c>
    </row>
    <row r="43" spans="1:7">
      <c r="A43" s="7" t="s">
        <v>44</v>
      </c>
      <c r="B43" s="7"/>
      <c r="C43" s="7"/>
      <c r="D43" s="7"/>
      <c r="E43" s="19"/>
      <c r="F43" s="11"/>
      <c r="G43" s="17">
        <f t="shared" si="2"/>
        <v>0</v>
      </c>
    </row>
    <row r="44" spans="1:7">
      <c r="A44" s="7" t="s">
        <v>45</v>
      </c>
      <c r="B44" s="7">
        <v>13</v>
      </c>
      <c r="C44" s="9">
        <v>4469.55</v>
      </c>
      <c r="D44" s="9">
        <v>5039.65</v>
      </c>
      <c r="E44" s="19">
        <f t="shared" si="3"/>
        <v>-570.099999999999</v>
      </c>
      <c r="F44" s="11">
        <f t="shared" si="1"/>
        <v>-0.113122935124463</v>
      </c>
      <c r="G44" s="17">
        <f t="shared" si="2"/>
        <v>0.0485881123248491</v>
      </c>
    </row>
    <row r="45" spans="1:7">
      <c r="A45" s="7" t="s">
        <v>46</v>
      </c>
      <c r="B45" s="7">
        <v>13</v>
      </c>
      <c r="C45" s="9">
        <v>15671.47</v>
      </c>
      <c r="D45" s="9">
        <v>13517.46</v>
      </c>
      <c r="E45" s="19">
        <f t="shared" si="3"/>
        <v>2154.01</v>
      </c>
      <c r="F45" s="11">
        <f t="shared" si="1"/>
        <v>0.159350203366609</v>
      </c>
      <c r="G45" s="17">
        <f t="shared" si="2"/>
        <v>0.170363268037163</v>
      </c>
    </row>
    <row r="46" spans="1:7">
      <c r="A46" s="7" t="s">
        <v>47</v>
      </c>
      <c r="B46" s="7">
        <v>14</v>
      </c>
      <c r="C46" s="7">
        <v>672.54</v>
      </c>
      <c r="D46" s="9">
        <v>1520.96</v>
      </c>
      <c r="E46" s="19">
        <f t="shared" si="3"/>
        <v>-848.42</v>
      </c>
      <c r="F46" s="11">
        <f t="shared" si="1"/>
        <v>-0.557818746055123</v>
      </c>
      <c r="G46" s="17">
        <f t="shared" si="2"/>
        <v>0.00731112730877919</v>
      </c>
    </row>
    <row r="47" spans="1:7">
      <c r="A47" s="7" t="s">
        <v>48</v>
      </c>
      <c r="B47" s="7">
        <v>15</v>
      </c>
      <c r="C47" s="9">
        <v>1543.7</v>
      </c>
      <c r="D47" s="9">
        <v>1191.29</v>
      </c>
      <c r="E47" s="19">
        <f t="shared" si="3"/>
        <v>352.41</v>
      </c>
      <c r="F47" s="11">
        <f t="shared" si="1"/>
        <v>0.295822175960513</v>
      </c>
      <c r="G47" s="17">
        <f t="shared" si="2"/>
        <v>0.0167814363852893</v>
      </c>
    </row>
    <row r="48" spans="1:7">
      <c r="A48" s="7" t="s">
        <v>38</v>
      </c>
      <c r="B48" s="7">
        <v>16</v>
      </c>
      <c r="C48" s="7">
        <v>227.45</v>
      </c>
      <c r="D48" s="7">
        <v>167.93</v>
      </c>
      <c r="E48" s="19">
        <f t="shared" si="3"/>
        <v>59.52</v>
      </c>
      <c r="F48" s="11">
        <f t="shared" si="1"/>
        <v>0.354433394866909</v>
      </c>
      <c r="G48" s="17">
        <f t="shared" si="2"/>
        <v>0.00247259033868889</v>
      </c>
    </row>
    <row r="49" spans="1:7">
      <c r="A49" s="7" t="s">
        <v>49</v>
      </c>
      <c r="B49" s="7"/>
      <c r="C49" s="9">
        <v>1367.94</v>
      </c>
      <c r="D49" s="9">
        <v>1074.67</v>
      </c>
      <c r="E49" s="19">
        <f t="shared" si="3"/>
        <v>293.27</v>
      </c>
      <c r="F49" s="11">
        <f t="shared" si="1"/>
        <v>0.272893074152996</v>
      </c>
      <c r="G49" s="17">
        <f t="shared" si="2"/>
        <v>0.0148707638070173</v>
      </c>
    </row>
    <row r="50" spans="1:7">
      <c r="A50" s="7"/>
      <c r="B50" s="7"/>
      <c r="C50" s="12">
        <v>24422.19</v>
      </c>
      <c r="D50" s="12">
        <v>22840.37</v>
      </c>
      <c r="E50" s="19">
        <f t="shared" si="3"/>
        <v>1581.82</v>
      </c>
      <c r="F50" s="11">
        <f t="shared" si="1"/>
        <v>0.0692554455116095</v>
      </c>
      <c r="G50" s="17">
        <f t="shared" si="2"/>
        <v>0.265491629121233</v>
      </c>
    </row>
    <row r="51" spans="1:7">
      <c r="A51" s="6" t="s">
        <v>50</v>
      </c>
      <c r="B51" s="7"/>
      <c r="C51" s="12">
        <v>91988.55</v>
      </c>
      <c r="D51" s="12">
        <v>81116.32</v>
      </c>
      <c r="E51" s="19">
        <f t="shared" si="3"/>
        <v>10872.23</v>
      </c>
      <c r="F51" s="11">
        <f t="shared" si="1"/>
        <v>0.134032584318421</v>
      </c>
      <c r="G51" s="17">
        <f t="shared" si="2"/>
        <v>1</v>
      </c>
    </row>
  </sheetData>
  <conditionalFormatting sqref="F$1:F$1048576">
    <cfRule type="cellIs" dxfId="0" priority="1" operator="lessThan">
      <formula>0</formula>
    </cfRule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A1" sqref="A1"/>
    </sheetView>
  </sheetViews>
  <sheetFormatPr defaultColWidth="9" defaultRowHeight="14.4" outlineLevelCol="6"/>
  <cols>
    <col min="1" max="1" width="64.7777777777778" customWidth="1"/>
    <col min="2" max="2" width="17.4444444444444" customWidth="1"/>
    <col min="3" max="3" width="38.4444444444444" customWidth="1"/>
    <col min="4" max="4" width="31.1111111111111" customWidth="1"/>
    <col min="5" max="5" width="24.2222222222222" style="1" customWidth="1"/>
    <col min="6" max="6" width="25.8888888888889" customWidth="1"/>
    <col min="7" max="7" width="17.3333333333333" customWidth="1"/>
  </cols>
  <sheetData>
    <row r="1" ht="28.8" spans="1:7">
      <c r="A1" s="2" t="s">
        <v>51</v>
      </c>
      <c r="B1" s="3" t="s">
        <v>52</v>
      </c>
      <c r="C1" s="3" t="s">
        <v>53</v>
      </c>
      <c r="D1" s="4" t="s">
        <v>54</v>
      </c>
      <c r="E1" s="5" t="s">
        <v>55</v>
      </c>
      <c r="F1" s="3" t="s">
        <v>5</v>
      </c>
      <c r="G1" s="3" t="s">
        <v>56</v>
      </c>
    </row>
    <row r="2" spans="1:4">
      <c r="A2" s="6" t="s">
        <v>57</v>
      </c>
      <c r="B2" s="7"/>
      <c r="C2" s="8"/>
      <c r="D2" s="7"/>
    </row>
    <row r="3" spans="1:7">
      <c r="A3" s="7" t="s">
        <v>58</v>
      </c>
      <c r="B3" s="7">
        <v>18</v>
      </c>
      <c r="C3" s="9">
        <v>90597.48</v>
      </c>
      <c r="D3" s="9">
        <v>72332.47</v>
      </c>
      <c r="E3" s="10">
        <f>C3-D3</f>
        <v>18265.01</v>
      </c>
      <c r="F3" s="11">
        <f>E3/D3</f>
        <v>0.25251467287098</v>
      </c>
      <c r="G3" s="11">
        <f>C3/$C$5</f>
        <v>0.988119118564504</v>
      </c>
    </row>
    <row r="4" spans="1:7">
      <c r="A4" s="7" t="s">
        <v>59</v>
      </c>
      <c r="B4" s="7">
        <v>19</v>
      </c>
      <c r="C4" s="9">
        <v>1089.32</v>
      </c>
      <c r="D4" s="7">
        <v>359.37</v>
      </c>
      <c r="E4" s="10">
        <f t="shared" ref="E4:E31" si="0">C4-D4</f>
        <v>729.95</v>
      </c>
      <c r="F4" s="11">
        <f t="shared" ref="F4:F31" si="1">E4/D4</f>
        <v>2.03119347747447</v>
      </c>
      <c r="G4" s="11">
        <f t="shared" ref="G4:G31" si="2">C4/$C$5</f>
        <v>0.0118808814354956</v>
      </c>
    </row>
    <row r="5" spans="1:7">
      <c r="A5" s="6" t="s">
        <v>60</v>
      </c>
      <c r="B5" s="7"/>
      <c r="C5" s="12">
        <v>91686.8</v>
      </c>
      <c r="D5" s="12">
        <v>72691.84</v>
      </c>
      <c r="E5" s="10">
        <f t="shared" si="0"/>
        <v>18994.96</v>
      </c>
      <c r="F5" s="11">
        <f t="shared" si="1"/>
        <v>0.261308009262113</v>
      </c>
      <c r="G5" s="11">
        <f t="shared" si="2"/>
        <v>1</v>
      </c>
    </row>
    <row r="6" spans="1:7">
      <c r="A6" s="6" t="s">
        <v>61</v>
      </c>
      <c r="B6" s="7"/>
      <c r="C6" s="7"/>
      <c r="D6" s="7"/>
      <c r="E6" s="10"/>
      <c r="F6" s="11"/>
      <c r="G6" s="11">
        <f t="shared" si="2"/>
        <v>0</v>
      </c>
    </row>
    <row r="7" spans="1:7">
      <c r="A7" s="7" t="s">
        <v>62</v>
      </c>
      <c r="B7" s="7">
        <v>20</v>
      </c>
      <c r="C7" s="9">
        <v>50888.16</v>
      </c>
      <c r="D7" s="9">
        <v>36394.68</v>
      </c>
      <c r="E7" s="10">
        <f t="shared" si="0"/>
        <v>14493.48</v>
      </c>
      <c r="F7" s="11">
        <f t="shared" si="1"/>
        <v>0.398230730425436</v>
      </c>
      <c r="G7" s="11">
        <f t="shared" si="2"/>
        <v>0.555021660697069</v>
      </c>
    </row>
    <row r="8" spans="1:7">
      <c r="A8" s="7" t="s">
        <v>63</v>
      </c>
      <c r="B8" s="7"/>
      <c r="C8" s="9">
        <v>1926.02</v>
      </c>
      <c r="D8" s="9">
        <v>1783.48</v>
      </c>
      <c r="E8" s="10">
        <f t="shared" si="0"/>
        <v>142.54</v>
      </c>
      <c r="F8" s="11">
        <f t="shared" si="1"/>
        <v>0.0799223989055105</v>
      </c>
      <c r="G8" s="11">
        <f t="shared" si="2"/>
        <v>0.0210065134784942</v>
      </c>
    </row>
    <row r="9" spans="1:7">
      <c r="A9" s="7" t="s">
        <v>64</v>
      </c>
      <c r="B9" s="7">
        <v>21</v>
      </c>
      <c r="C9" s="9">
        <v>-1461.72</v>
      </c>
      <c r="D9" s="7">
        <v>-526.46</v>
      </c>
      <c r="E9" s="10">
        <f t="shared" si="0"/>
        <v>-935.26</v>
      </c>
      <c r="F9" s="11">
        <f t="shared" si="1"/>
        <v>1.77650723701706</v>
      </c>
      <c r="G9" s="11">
        <f t="shared" si="2"/>
        <v>-0.015942534803265</v>
      </c>
    </row>
    <row r="10" spans="1:7">
      <c r="A10" s="7" t="s">
        <v>65</v>
      </c>
      <c r="B10" s="7">
        <v>22</v>
      </c>
      <c r="C10" s="9">
        <v>5632.91</v>
      </c>
      <c r="D10" s="9">
        <v>4831.28</v>
      </c>
      <c r="E10" s="10">
        <f t="shared" si="0"/>
        <v>801.63</v>
      </c>
      <c r="F10" s="11">
        <f t="shared" si="1"/>
        <v>0.165924972264079</v>
      </c>
      <c r="G10" s="11">
        <f t="shared" si="2"/>
        <v>0.061436433597857</v>
      </c>
    </row>
    <row r="11" spans="1:7">
      <c r="A11" s="7" t="s">
        <v>66</v>
      </c>
      <c r="B11" s="7">
        <v>23</v>
      </c>
      <c r="C11" s="7">
        <v>133.04</v>
      </c>
      <c r="D11" s="7">
        <v>381.31</v>
      </c>
      <c r="E11" s="10">
        <f t="shared" si="0"/>
        <v>-248.27</v>
      </c>
      <c r="F11" s="11">
        <f t="shared" si="1"/>
        <v>-0.651097532191655</v>
      </c>
      <c r="G11" s="11">
        <f t="shared" si="2"/>
        <v>0.00145102675630516</v>
      </c>
    </row>
    <row r="12" spans="1:7">
      <c r="A12" s="7" t="s">
        <v>67</v>
      </c>
      <c r="B12" s="7">
        <v>24</v>
      </c>
      <c r="C12" s="9">
        <v>3125.08</v>
      </c>
      <c r="D12" s="9">
        <v>2438.95</v>
      </c>
      <c r="E12" s="10">
        <f t="shared" si="0"/>
        <v>686.13</v>
      </c>
      <c r="F12" s="11">
        <f t="shared" si="1"/>
        <v>0.28132188031735</v>
      </c>
      <c r="G12" s="11">
        <f t="shared" si="2"/>
        <v>0.0340842956674243</v>
      </c>
    </row>
    <row r="13" spans="1:7">
      <c r="A13" s="7" t="s">
        <v>68</v>
      </c>
      <c r="B13" s="7">
        <v>25</v>
      </c>
      <c r="C13" s="9">
        <v>20013.74</v>
      </c>
      <c r="D13" s="9">
        <v>17597.88</v>
      </c>
      <c r="E13" s="10">
        <f t="shared" si="0"/>
        <v>2415.86</v>
      </c>
      <c r="F13" s="11">
        <f t="shared" si="1"/>
        <v>0.137281308884934</v>
      </c>
      <c r="G13" s="11">
        <f t="shared" si="2"/>
        <v>0.218283766038296</v>
      </c>
    </row>
    <row r="14" spans="1:7">
      <c r="A14" s="6" t="s">
        <v>69</v>
      </c>
      <c r="B14" s="7"/>
      <c r="C14" s="12">
        <v>80257.23</v>
      </c>
      <c r="D14" s="12">
        <v>62901.12</v>
      </c>
      <c r="E14" s="10">
        <f t="shared" si="0"/>
        <v>17356.11</v>
      </c>
      <c r="F14" s="11">
        <f t="shared" si="1"/>
        <v>0.275926883336894</v>
      </c>
      <c r="G14" s="11">
        <f t="shared" si="2"/>
        <v>0.87534116143218</v>
      </c>
    </row>
    <row r="15" spans="1:7">
      <c r="A15" s="6" t="s">
        <v>70</v>
      </c>
      <c r="B15" s="7"/>
      <c r="C15" s="12">
        <v>11429.57</v>
      </c>
      <c r="D15" s="12">
        <v>9790.72</v>
      </c>
      <c r="E15" s="10">
        <f t="shared" si="0"/>
        <v>1638.85</v>
      </c>
      <c r="F15" s="11">
        <f t="shared" si="1"/>
        <v>0.167388098117401</v>
      </c>
      <c r="G15" s="11">
        <f t="shared" si="2"/>
        <v>0.12465883856782</v>
      </c>
    </row>
    <row r="16" spans="1:7">
      <c r="A16" s="6" t="s">
        <v>71</v>
      </c>
      <c r="B16" s="7"/>
      <c r="C16" s="7"/>
      <c r="D16" s="7"/>
      <c r="E16" s="10"/>
      <c r="F16" s="11"/>
      <c r="G16" s="11">
        <f t="shared" si="2"/>
        <v>0</v>
      </c>
    </row>
    <row r="17" spans="1:7">
      <c r="A17" s="7" t="s">
        <v>72</v>
      </c>
      <c r="B17" s="7">
        <v>17</v>
      </c>
      <c r="C17" s="9">
        <v>2877.37</v>
      </c>
      <c r="D17" s="9">
        <v>2555.37</v>
      </c>
      <c r="E17" s="10">
        <f t="shared" si="0"/>
        <v>322</v>
      </c>
      <c r="F17" s="11">
        <f t="shared" si="1"/>
        <v>0.126009149359975</v>
      </c>
      <c r="G17" s="11">
        <f t="shared" si="2"/>
        <v>0.0313825981493519</v>
      </c>
    </row>
    <row r="18" spans="1:7">
      <c r="A18" s="7" t="s">
        <v>73</v>
      </c>
      <c r="B18" s="7"/>
      <c r="C18" s="7" t="s">
        <v>31</v>
      </c>
      <c r="D18" s="7">
        <v>-84.85</v>
      </c>
      <c r="E18" s="10"/>
      <c r="F18" s="11">
        <f t="shared" si="1"/>
        <v>0</v>
      </c>
      <c r="G18" s="11"/>
    </row>
    <row r="19" spans="1:7">
      <c r="A19" s="7" t="s">
        <v>74</v>
      </c>
      <c r="B19" s="7">
        <v>17</v>
      </c>
      <c r="C19" s="7">
        <v>147.4</v>
      </c>
      <c r="D19" s="7">
        <v>235.19</v>
      </c>
      <c r="E19" s="10">
        <f t="shared" si="0"/>
        <v>-87.79</v>
      </c>
      <c r="F19" s="11">
        <f t="shared" si="1"/>
        <v>-0.373272673157872</v>
      </c>
      <c r="G19" s="11">
        <f t="shared" si="2"/>
        <v>0.00160764690228037</v>
      </c>
    </row>
    <row r="20" spans="1:7">
      <c r="A20" s="6" t="s">
        <v>75</v>
      </c>
      <c r="B20" s="7"/>
      <c r="C20" s="12">
        <v>3024.77</v>
      </c>
      <c r="D20" s="12">
        <v>2705.71</v>
      </c>
      <c r="E20" s="10">
        <f t="shared" si="0"/>
        <v>319.06</v>
      </c>
      <c r="F20" s="11">
        <f t="shared" si="1"/>
        <v>0.117920989315189</v>
      </c>
      <c r="G20" s="11">
        <f t="shared" si="2"/>
        <v>0.0329902450516323</v>
      </c>
    </row>
    <row r="21" spans="1:7">
      <c r="A21" s="6" t="s">
        <v>76</v>
      </c>
      <c r="B21" s="7"/>
      <c r="C21" s="12">
        <v>8404.8</v>
      </c>
      <c r="D21" s="12">
        <v>7085.01</v>
      </c>
      <c r="E21" s="10">
        <f t="shared" si="0"/>
        <v>1319.79</v>
      </c>
      <c r="F21" s="11">
        <f t="shared" si="1"/>
        <v>0.186279200735073</v>
      </c>
      <c r="G21" s="11">
        <f t="shared" si="2"/>
        <v>0.0916685935161877</v>
      </c>
    </row>
    <row r="22" spans="1:7">
      <c r="A22" s="7" t="s">
        <v>77</v>
      </c>
      <c r="B22" s="7"/>
      <c r="C22" s="7"/>
      <c r="D22" s="7"/>
      <c r="E22" s="10">
        <f t="shared" si="0"/>
        <v>0</v>
      </c>
      <c r="F22" s="11"/>
      <c r="G22" s="11">
        <f t="shared" si="2"/>
        <v>0</v>
      </c>
    </row>
    <row r="23" spans="1:7">
      <c r="A23" s="7" t="s">
        <v>78</v>
      </c>
      <c r="B23" s="7"/>
      <c r="C23" s="7">
        <v>17.86</v>
      </c>
      <c r="D23" s="7">
        <v>-14.53</v>
      </c>
      <c r="E23" s="10">
        <f t="shared" si="0"/>
        <v>32.39</v>
      </c>
      <c r="F23" s="11">
        <f t="shared" si="1"/>
        <v>-2.22918100481762</v>
      </c>
      <c r="G23" s="11">
        <f t="shared" si="2"/>
        <v>0.000194793579882818</v>
      </c>
    </row>
    <row r="24" spans="1:7">
      <c r="A24" s="7" t="s">
        <v>79</v>
      </c>
      <c r="B24" s="7"/>
      <c r="C24" s="7">
        <v>-4.5</v>
      </c>
      <c r="D24" s="7">
        <v>3.66</v>
      </c>
      <c r="E24" s="10">
        <f t="shared" si="0"/>
        <v>-8.16</v>
      </c>
      <c r="F24" s="11">
        <f t="shared" si="1"/>
        <v>-2.22950819672131</v>
      </c>
      <c r="G24" s="11">
        <f t="shared" si="2"/>
        <v>-4.90801293097807e-5</v>
      </c>
    </row>
    <row r="25" spans="1:7">
      <c r="A25" s="6" t="s">
        <v>80</v>
      </c>
      <c r="B25" s="7"/>
      <c r="C25" s="7">
        <v>13.36</v>
      </c>
      <c r="D25" s="7">
        <v>-10.87</v>
      </c>
      <c r="E25" s="10">
        <f t="shared" si="0"/>
        <v>24.23</v>
      </c>
      <c r="F25" s="11">
        <f t="shared" si="1"/>
        <v>-2.22907083716651</v>
      </c>
      <c r="G25" s="11">
        <f t="shared" si="2"/>
        <v>0.000145713450573038</v>
      </c>
    </row>
    <row r="26" spans="1:7">
      <c r="A26" s="6" t="s">
        <v>81</v>
      </c>
      <c r="B26" s="7"/>
      <c r="C26" s="7"/>
      <c r="D26" s="7"/>
      <c r="E26" s="10"/>
      <c r="F26" s="11"/>
      <c r="G26" s="11">
        <f t="shared" si="2"/>
        <v>0</v>
      </c>
    </row>
    <row r="27" spans="1:7">
      <c r="A27" s="6" t="s">
        <v>82</v>
      </c>
      <c r="B27" s="7"/>
      <c r="C27" s="12">
        <v>8418.16</v>
      </c>
      <c r="D27" s="12">
        <v>7074.14</v>
      </c>
      <c r="E27" s="10">
        <f t="shared" si="0"/>
        <v>1344.02</v>
      </c>
      <c r="F27" s="11">
        <f t="shared" si="1"/>
        <v>0.189990585428052</v>
      </c>
      <c r="G27" s="11">
        <f t="shared" si="2"/>
        <v>0.0918143069667608</v>
      </c>
    </row>
    <row r="28" spans="1:7">
      <c r="A28" s="6" t="s">
        <v>83</v>
      </c>
      <c r="B28" s="7">
        <v>26</v>
      </c>
      <c r="C28" s="7"/>
      <c r="D28" s="7"/>
      <c r="E28" s="10"/>
      <c r="F28" s="11"/>
      <c r="G28" s="11">
        <f t="shared" si="2"/>
        <v>0</v>
      </c>
    </row>
    <row r="29" spans="1:7">
      <c r="A29" s="7" t="s">
        <v>84</v>
      </c>
      <c r="B29" s="7"/>
      <c r="C29" s="7"/>
      <c r="D29" s="7"/>
      <c r="E29" s="10"/>
      <c r="F29" s="11"/>
      <c r="G29" s="11">
        <f t="shared" si="2"/>
        <v>0</v>
      </c>
    </row>
    <row r="30" spans="1:7">
      <c r="A30" s="7" t="s">
        <v>85</v>
      </c>
      <c r="B30" s="7"/>
      <c r="C30" s="7">
        <v>17.67</v>
      </c>
      <c r="D30" s="7">
        <v>15.55</v>
      </c>
      <c r="E30" s="10">
        <f t="shared" si="0"/>
        <v>2.12</v>
      </c>
      <c r="F30" s="11">
        <f t="shared" si="1"/>
        <v>0.136334405144695</v>
      </c>
      <c r="G30" s="11">
        <f t="shared" si="2"/>
        <v>0.000192721307756406</v>
      </c>
    </row>
    <row r="31" spans="1:7">
      <c r="A31" s="7" t="s">
        <v>86</v>
      </c>
      <c r="B31" s="7"/>
      <c r="C31" s="7">
        <v>17.63</v>
      </c>
      <c r="D31" s="7">
        <v>15.54</v>
      </c>
      <c r="E31" s="10">
        <f t="shared" si="0"/>
        <v>2.09</v>
      </c>
      <c r="F31" s="11">
        <f t="shared" si="1"/>
        <v>0.134491634491634</v>
      </c>
      <c r="G31" s="11">
        <f t="shared" si="2"/>
        <v>0.000192285039940319</v>
      </c>
    </row>
    <row r="32" spans="1:6">
      <c r="A32" s="7"/>
      <c r="B32" s="7"/>
      <c r="C32" s="7"/>
      <c r="D32" s="7"/>
      <c r="F32" s="11"/>
    </row>
    <row r="33" spans="1:4">
      <c r="A33" s="7"/>
      <c r="B33" s="7"/>
      <c r="C33" s="7"/>
      <c r="D33" s="7"/>
    </row>
  </sheetData>
  <conditionalFormatting sqref="F$1:F$1048576">
    <cfRule type="cellIs" dxfId="0" priority="1" operator="lessThan">
      <formula>0</formula>
    </cfRule>
  </conditionalFormatting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Balancesheet</vt:lpstr>
      <vt:lpstr>P&amp;L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Siv1710</dc:creator>
  <cp:lastModifiedBy>balas</cp:lastModifiedBy>
  <dcterms:created xsi:type="dcterms:W3CDTF">2023-05-07T08:41:00Z</dcterms:created>
  <dcterms:modified xsi:type="dcterms:W3CDTF">2023-05-08T11:16:44Z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1B8D11CD5F504407A51984A45DADA85C</vt:lpwstr>
  </property>
  <property fmtid="{D5CDD505-2E9C-101B-9397-08002B2CF9AE}" pid="3" name="KSOProductBuildVer">
    <vt:lpwstr>1033-11.2.0.11537</vt:lpwstr>
  </property>
</Properties>
</file>