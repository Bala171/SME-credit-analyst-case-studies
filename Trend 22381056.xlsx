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Trend analysis" sheetId="3" r:id="rId1"/>
  </sheets>
  <definedNames>
    <definedName name="_xlchart.v1.0" hidden="1">#REF!</definedName>
    <definedName name="_xlchart.v1.1" hidden="1">#REF!</definedName>
    <definedName name="_xlchart.v1.10" hidden="1">#REF!</definedName>
    <definedName name="_xlchart.v1.11" hidden="1">#REF!</definedName>
    <definedName name="_xlchart.v1.12" hidden="1">#REF!</definedName>
    <definedName name="_xlchart.v1.13" hidden="1">#REF!</definedName>
    <definedName name="_xlchart.v1.14" hidden="1">#REF!</definedName>
    <definedName name="_xlchart.v1.15" hidden="1">#REF!</definedName>
    <definedName name="_xlchart.v1.16" hidden="1">#REF!</definedName>
    <definedName name="_xlchart.v1.17" hidden="1">#REF!</definedName>
    <definedName name="_xlchart.v1.18" hidden="1">#REF!</definedName>
    <definedName name="_xlchart.v1.19" hidden="1">#REF!</definedName>
    <definedName name="_xlchart.v1.2" hidden="1">#REF!</definedName>
    <definedName name="_xlchart.v1.20" hidden="1">#REF!</definedName>
    <definedName name="_xlchart.v1.21" hidden="1">#REF!</definedName>
    <definedName name="_xlchart.v1.22" hidden="1">#REF!</definedName>
    <definedName name="_xlchart.v1.23" hidden="1">#REF!</definedName>
    <definedName name="_xlchart.v1.24" hidden="1">#REF!</definedName>
    <definedName name="_xlchart.v1.25" hidden="1">#REF!</definedName>
    <definedName name="_xlchart.v1.26" hidden="1">#REF!</definedName>
    <definedName name="_xlchart.v1.27" hidden="1">#REF!</definedName>
    <definedName name="_xlchart.v1.28" hidden="1">#REF!</definedName>
    <definedName name="_xlchart.v1.29" hidden="1">#REF!</definedName>
    <definedName name="_xlchart.v1.3" hidden="1">#REF!</definedName>
    <definedName name="_xlchart.v1.30" hidden="1">#REF!</definedName>
    <definedName name="_xlchart.v1.31" hidden="1">#REF!</definedName>
    <definedName name="_xlchart.v1.32" hidden="1">#REF!</definedName>
    <definedName name="_xlchart.v1.33" hidden="1">#REF!</definedName>
    <definedName name="_xlchart.v1.34" hidden="1">#REF!</definedName>
    <definedName name="_xlchart.v1.4" hidden="1">#REF!</definedName>
    <definedName name="_xlchart.v1.5" hidden="1">#REF!</definedName>
    <definedName name="_xlchart.v1.6" hidden="1">#REF!</definedName>
    <definedName name="_xlchart.v1.7" hidden="1">#REF!</definedName>
    <definedName name="_xlchart.v1.8" hidden="1">#REF!</definedName>
    <definedName name="_xlchart.v1.9" hidden="1">#REF!</definedName>
  </definedNames>
  <calcPr calcId="144525"/>
</workbook>
</file>

<file path=xl/sharedStrings.xml><?xml version="1.0" encoding="utf-8"?>
<sst xmlns="http://schemas.openxmlformats.org/spreadsheetml/2006/main" count="34" uniqueCount="21">
  <si>
    <t>Balaji S</t>
  </si>
  <si>
    <t>Trend analysis</t>
  </si>
  <si>
    <t>Year</t>
  </si>
  <si>
    <t>Net Sales</t>
  </si>
  <si>
    <t>trend net sales</t>
  </si>
  <si>
    <t>Cost of Goods Sold</t>
  </si>
  <si>
    <t>trend cost of goods</t>
  </si>
  <si>
    <t>gross profit</t>
  </si>
  <si>
    <t>trend gross profit</t>
  </si>
  <si>
    <t>Operating Expenses</t>
  </si>
  <si>
    <t>trend operating expenses</t>
  </si>
  <si>
    <t>Operating Profit</t>
  </si>
  <si>
    <t>trend operating profit</t>
  </si>
  <si>
    <t>Other Expenses</t>
  </si>
  <si>
    <t>trend other expenses</t>
  </si>
  <si>
    <t>Net Profit</t>
  </si>
  <si>
    <t>trend net profit</t>
  </si>
  <si>
    <t>Gross Profit</t>
  </si>
  <si>
    <t>Annual growth rate</t>
  </si>
  <si>
    <t>Average growth rate</t>
  </si>
  <si>
    <t>Compound annual growth rate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</si>
</sst>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9" borderId="2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0" borderId="1" xfId="6" applyNumberFormat="1" applyFont="1" applyBorder="1" applyAlignment="1">
      <alignment horizontal="center"/>
    </xf>
    <xf numFmtId="9" fontId="0" fillId="0" borderId="1" xfId="6" applyFont="1" applyBorder="1" applyAlignment="1">
      <alignment horizontal="center"/>
    </xf>
    <xf numFmtId="9" fontId="0" fillId="0" borderId="0" xfId="6" applyFont="1" applyAlignment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6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Net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697494334947"/>
          <c:y val="0.167209622564785"/>
          <c:w val="0.780906462779109"/>
          <c:h val="0.49763271228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'Trend analysis'!$B$4</c:f>
              <c:strCache>
                <c:ptCount val="1"/>
                <c:pt idx="0">
                  <c:v>Net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analysis'!$A$5:$A$11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analysis'!$B$5:$B$11</c:f>
              <c:numCache>
                <c:formatCode>General</c:formatCode>
                <c:ptCount val="7"/>
                <c:pt idx="0">
                  <c:v>200</c:v>
                </c:pt>
                <c:pt idx="1">
                  <c:v>212</c:v>
                </c:pt>
                <c:pt idx="2">
                  <c:v>130</c:v>
                </c:pt>
                <c:pt idx="3">
                  <c:v>254</c:v>
                </c:pt>
                <c:pt idx="4">
                  <c:v>266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0384"/>
        <c:axId val="172339712"/>
      </c:barChart>
      <c:lineChart>
        <c:grouping val="standard"/>
        <c:varyColors val="0"/>
        <c:ser>
          <c:idx val="1"/>
          <c:order val="1"/>
          <c:tx>
            <c:strRef>
              <c:f>'Trend analysis'!$C$4</c:f>
              <c:strCache>
                <c:ptCount val="1"/>
                <c:pt idx="0">
                  <c:v>trend net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analysis'!$A$5:$A$11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analysis'!$C$5:$C$11</c:f>
              <c:numCache>
                <c:formatCode>0%</c:formatCode>
                <c:ptCount val="7"/>
                <c:pt idx="0">
                  <c:v>1</c:v>
                </c:pt>
                <c:pt idx="1">
                  <c:v>1.06</c:v>
                </c:pt>
                <c:pt idx="2">
                  <c:v>0.65</c:v>
                </c:pt>
                <c:pt idx="3">
                  <c:v>1.27</c:v>
                </c:pt>
                <c:pt idx="4">
                  <c:v>1.33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2802432"/>
        <c:axId val="172340288"/>
      </c:lineChart>
      <c:catAx>
        <c:axId val="1828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39712"/>
        <c:crosses val="autoZero"/>
        <c:auto val="1"/>
        <c:lblAlgn val="ctr"/>
        <c:lblOffset val="100"/>
        <c:noMultiLvlLbl val="0"/>
      </c:catAx>
      <c:valAx>
        <c:axId val="1723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00384"/>
        <c:crosses val="autoZero"/>
        <c:crossBetween val="between"/>
      </c:valAx>
      <c:catAx>
        <c:axId val="182802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40288"/>
        <c:crosses val="autoZero"/>
        <c:auto val="1"/>
        <c:lblAlgn val="ctr"/>
        <c:lblOffset val="100"/>
        <c:noMultiLvlLbl val="0"/>
      </c:catAx>
      <c:valAx>
        <c:axId val="17234028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024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cost</a:t>
            </a:r>
            <a:r>
              <a:rPr lang="en-IN" baseline="0"/>
              <a:t> of goods</a:t>
            </a:r>
            <a:endParaRPr lang="en-IN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analysis'!$B$22</c:f>
              <c:strCache>
                <c:ptCount val="1"/>
                <c:pt idx="0">
                  <c:v>Cost of Goods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analysis'!$A$23:$A$27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analysis'!$B$23:$B$27</c:f>
              <c:numCache>
                <c:formatCode>General</c:formatCode>
                <c:ptCount val="5"/>
                <c:pt idx="0">
                  <c:v>146</c:v>
                </c:pt>
                <c:pt idx="1">
                  <c:v>158</c:v>
                </c:pt>
                <c:pt idx="2">
                  <c:v>82</c:v>
                </c:pt>
                <c:pt idx="3">
                  <c:v>174</c:v>
                </c:pt>
                <c:pt idx="4">
                  <c:v>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2944"/>
        <c:axId val="172342592"/>
      </c:barChart>
      <c:lineChart>
        <c:grouping val="standard"/>
        <c:varyColors val="0"/>
        <c:ser>
          <c:idx val="1"/>
          <c:order val="1"/>
          <c:tx>
            <c:strRef>
              <c:f>'Trend analysis'!$C$22</c:f>
              <c:strCache>
                <c:ptCount val="1"/>
                <c:pt idx="0">
                  <c:v>trend cost of goods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analysis'!$A$23:$A$27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analysis'!$C$23:$C$27</c:f>
              <c:numCache>
                <c:formatCode>0%</c:formatCode>
                <c:ptCount val="5"/>
                <c:pt idx="0">
                  <c:v>1</c:v>
                </c:pt>
                <c:pt idx="1">
                  <c:v>1.08219178082192</c:v>
                </c:pt>
                <c:pt idx="2">
                  <c:v>0.561643835616438</c:v>
                </c:pt>
                <c:pt idx="3">
                  <c:v>1.19178082191781</c:v>
                </c:pt>
                <c:pt idx="4">
                  <c:v>1.29452054794521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345920"/>
        <c:axId val="202694656"/>
      </c:lineChart>
      <c:catAx>
        <c:axId val="18280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42592"/>
        <c:crosses val="autoZero"/>
        <c:auto val="1"/>
        <c:lblAlgn val="ctr"/>
        <c:lblOffset val="100"/>
        <c:noMultiLvlLbl val="0"/>
      </c:catAx>
      <c:valAx>
        <c:axId val="17234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02944"/>
        <c:crosses val="autoZero"/>
        <c:crossBetween val="between"/>
      </c:valAx>
      <c:catAx>
        <c:axId val="203345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694656"/>
        <c:crosses val="autoZero"/>
        <c:auto val="1"/>
        <c:lblAlgn val="ctr"/>
        <c:lblOffset val="100"/>
        <c:noMultiLvlLbl val="0"/>
      </c:catAx>
      <c:valAx>
        <c:axId val="20269465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34592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</a:t>
            </a:r>
            <a:r>
              <a:rPr lang="en-IN" baseline="0"/>
              <a:t> profit</a:t>
            </a:r>
            <a:endParaRPr lang="en-IN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analysis'!$B$37</c:f>
              <c:strCache>
                <c:ptCount val="1"/>
                <c:pt idx="0">
                  <c:v>gross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analysis'!$A$38:$A$42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analysis'!$B$38:$B$42</c:f>
              <c:numCache>
                <c:formatCode>General</c:formatCode>
                <c:ptCount val="5"/>
                <c:pt idx="0">
                  <c:v>54</c:v>
                </c:pt>
                <c:pt idx="1">
                  <c:v>54</c:v>
                </c:pt>
                <c:pt idx="2">
                  <c:v>48</c:v>
                </c:pt>
                <c:pt idx="3">
                  <c:v>80</c:v>
                </c:pt>
                <c:pt idx="4">
                  <c:v>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46432"/>
        <c:axId val="202696960"/>
      </c:barChart>
      <c:lineChart>
        <c:grouping val="standard"/>
        <c:varyColors val="0"/>
        <c:ser>
          <c:idx val="1"/>
          <c:order val="1"/>
          <c:tx>
            <c:strRef>
              <c:f>'Trend analysis'!$C$37</c:f>
              <c:strCache>
                <c:ptCount val="1"/>
                <c:pt idx="0">
                  <c:v>trend gross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analysis'!$A$38:$A$42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analysis'!$C$38:$C$42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0.89</c:v>
                </c:pt>
                <c:pt idx="3">
                  <c:v>1.48</c:v>
                </c:pt>
                <c:pt idx="4">
                  <c:v>1.43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347968"/>
        <c:axId val="202697536"/>
      </c:lineChart>
      <c:catAx>
        <c:axId val="2033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696960"/>
        <c:crosses val="autoZero"/>
        <c:auto val="1"/>
        <c:lblAlgn val="ctr"/>
        <c:lblOffset val="100"/>
        <c:noMultiLvlLbl val="0"/>
      </c:catAx>
      <c:valAx>
        <c:axId val="2026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346432"/>
        <c:crosses val="autoZero"/>
        <c:crossBetween val="between"/>
      </c:valAx>
      <c:catAx>
        <c:axId val="203347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697536"/>
        <c:crosses val="autoZero"/>
        <c:auto val="1"/>
        <c:lblAlgn val="ctr"/>
        <c:lblOffset val="100"/>
        <c:noMultiLvlLbl val="0"/>
      </c:catAx>
      <c:valAx>
        <c:axId val="20269753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34796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Operating</a:t>
            </a:r>
            <a:r>
              <a:rPr lang="en-IN" baseline="0"/>
              <a:t> expense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analysis'!$B$54</c:f>
              <c:strCache>
                <c:ptCount val="1"/>
                <c:pt idx="0">
                  <c:v>Operating Expenses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analysis'!$A$55:$A$59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analysis'!$B$55:$B$59</c:f>
              <c:numCache>
                <c:formatCode>General</c:formatCode>
                <c:ptCount val="5"/>
                <c:pt idx="0">
                  <c:v>11</c:v>
                </c:pt>
                <c:pt idx="1">
                  <c:v>13</c:v>
                </c:pt>
                <c:pt idx="2">
                  <c:v>12</c:v>
                </c:pt>
                <c:pt idx="3">
                  <c:v>23</c:v>
                </c:pt>
                <c:pt idx="4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48480"/>
        <c:axId val="202699840"/>
      </c:barChart>
      <c:lineChart>
        <c:grouping val="standard"/>
        <c:varyColors val="0"/>
        <c:ser>
          <c:idx val="1"/>
          <c:order val="1"/>
          <c:tx>
            <c:strRef>
              <c:f>'Trend analysis'!$C$54</c:f>
              <c:strCache>
                <c:ptCount val="1"/>
                <c:pt idx="0">
                  <c:v>trend operating expenses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analysis'!$A$55:$A$59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analysis'!$C$55:$C$59</c:f>
              <c:numCache>
                <c:formatCode>0%</c:formatCode>
                <c:ptCount val="5"/>
                <c:pt idx="0">
                  <c:v>1</c:v>
                </c:pt>
                <c:pt idx="1">
                  <c:v>1.18</c:v>
                </c:pt>
                <c:pt idx="2">
                  <c:v>1.09</c:v>
                </c:pt>
                <c:pt idx="3">
                  <c:v>2.09</c:v>
                </c:pt>
                <c:pt idx="4">
                  <c:v>3.27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956224"/>
        <c:axId val="202700416"/>
      </c:lineChart>
      <c:catAx>
        <c:axId val="2033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699840"/>
        <c:crosses val="autoZero"/>
        <c:auto val="1"/>
        <c:lblAlgn val="ctr"/>
        <c:lblOffset val="100"/>
        <c:noMultiLvlLbl val="0"/>
      </c:catAx>
      <c:valAx>
        <c:axId val="2026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348480"/>
        <c:crosses val="autoZero"/>
        <c:crossBetween val="between"/>
      </c:valAx>
      <c:catAx>
        <c:axId val="203956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700416"/>
        <c:crosses val="autoZero"/>
        <c:auto val="1"/>
        <c:lblAlgn val="ctr"/>
        <c:lblOffset val="100"/>
        <c:noMultiLvlLbl val="0"/>
      </c:catAx>
      <c:valAx>
        <c:axId val="20270041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9562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Operating</a:t>
            </a:r>
            <a:r>
              <a:rPr lang="en-IN" baseline="0"/>
              <a:t> profit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analysis'!$B$69</c:f>
              <c:strCache>
                <c:ptCount val="1"/>
                <c:pt idx="0">
                  <c:v>Operating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analysis'!$A$70:$A$74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analysis'!$B$70:$B$74</c:f>
              <c:numCache>
                <c:formatCode>General</c:formatCode>
                <c:ptCount val="5"/>
                <c:pt idx="0">
                  <c:v>43</c:v>
                </c:pt>
                <c:pt idx="1">
                  <c:v>41</c:v>
                </c:pt>
                <c:pt idx="2">
                  <c:v>36</c:v>
                </c:pt>
                <c:pt idx="3">
                  <c:v>57</c:v>
                </c:pt>
                <c:pt idx="4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56736"/>
        <c:axId val="203890688"/>
      </c:barChart>
      <c:lineChart>
        <c:grouping val="standard"/>
        <c:varyColors val="0"/>
        <c:ser>
          <c:idx val="1"/>
          <c:order val="1"/>
          <c:tx>
            <c:strRef>
              <c:f>'Trend analysis'!$C$69</c:f>
              <c:strCache>
                <c:ptCount val="1"/>
                <c:pt idx="0">
                  <c:v>trend operating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analysis'!$A$70:$A$74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analysis'!$C$70:$C$74</c:f>
              <c:numCache>
                <c:formatCode>0%</c:formatCode>
                <c:ptCount val="5"/>
                <c:pt idx="0">
                  <c:v>1</c:v>
                </c:pt>
                <c:pt idx="1">
                  <c:v>0.95</c:v>
                </c:pt>
                <c:pt idx="2">
                  <c:v>0.84</c:v>
                </c:pt>
                <c:pt idx="3">
                  <c:v>1.33</c:v>
                </c:pt>
                <c:pt idx="4">
                  <c:v>0.95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958272"/>
        <c:axId val="203891264"/>
      </c:lineChart>
      <c:catAx>
        <c:axId val="2039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90688"/>
        <c:crosses val="autoZero"/>
        <c:auto val="1"/>
        <c:lblAlgn val="ctr"/>
        <c:lblOffset val="100"/>
        <c:noMultiLvlLbl val="0"/>
      </c:catAx>
      <c:valAx>
        <c:axId val="2038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956736"/>
        <c:crosses val="autoZero"/>
        <c:crossBetween val="between"/>
      </c:valAx>
      <c:catAx>
        <c:axId val="203958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91264"/>
        <c:crosses val="autoZero"/>
        <c:auto val="1"/>
        <c:lblAlgn val="ctr"/>
        <c:lblOffset val="100"/>
        <c:noMultiLvlLbl val="0"/>
      </c:catAx>
      <c:valAx>
        <c:axId val="20389126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95827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Other</a:t>
            </a:r>
            <a:r>
              <a:rPr lang="en-IN" baseline="0"/>
              <a:t> expense</a:t>
            </a:r>
            <a:endParaRPr lang="en-IN"/>
          </a:p>
        </c:rich>
      </c:tx>
      <c:layout>
        <c:manualLayout>
          <c:xMode val="edge"/>
          <c:yMode val="edge"/>
          <c:x val="0.380298556430446"/>
          <c:y val="0.01851851851851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26920384951881"/>
          <c:y val="0.191690361621464"/>
          <c:w val="0.902863517060367"/>
          <c:h val="0.668502843394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'Trend analysis'!$B$85</c:f>
              <c:strCache>
                <c:ptCount val="1"/>
                <c:pt idx="0">
                  <c:v>Other Expenses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analysis'!$A$86:$A$90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analysis'!$B$86:$B$90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23</c:v>
                </c:pt>
                <c:pt idx="3">
                  <c:v>10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58784"/>
        <c:axId val="203893568"/>
      </c:barChart>
      <c:lineChart>
        <c:grouping val="standard"/>
        <c:varyColors val="0"/>
        <c:ser>
          <c:idx val="1"/>
          <c:order val="1"/>
          <c:tx>
            <c:strRef>
              <c:f>'Trend analysis'!$C$85</c:f>
              <c:strCache>
                <c:ptCount val="1"/>
                <c:pt idx="0">
                  <c:v>trend other expenses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analysis'!$A$86:$A$90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analysis'!$C$86:$C$90</c:f>
              <c:numCache>
                <c:formatCode>0%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2.88</c:v>
                </c:pt>
                <c:pt idx="3">
                  <c:v>1.25</c:v>
                </c:pt>
                <c:pt idx="4">
                  <c:v>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958784"/>
        <c:axId val="203893568"/>
      </c:lineChart>
      <c:catAx>
        <c:axId val="20395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93568"/>
        <c:crosses val="autoZero"/>
        <c:auto val="1"/>
        <c:lblAlgn val="ctr"/>
        <c:lblOffset val="100"/>
        <c:noMultiLvlLbl val="0"/>
      </c:catAx>
      <c:valAx>
        <c:axId val="203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9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analysis'!$B$101</c:f>
              <c:strCache>
                <c:ptCount val="1"/>
                <c:pt idx="0">
                  <c:v>Net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'Trend analysis'!$A$102:$A$106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analysis'!$B$102:$B$106</c:f>
              <c:numCache>
                <c:formatCode>General</c:formatCode>
                <c:ptCount val="5"/>
                <c:pt idx="0">
                  <c:v>35</c:v>
                </c:pt>
                <c:pt idx="1">
                  <c:v>31</c:v>
                </c:pt>
                <c:pt idx="2">
                  <c:v>13</c:v>
                </c:pt>
                <c:pt idx="3">
                  <c:v>47</c:v>
                </c:pt>
                <c:pt idx="4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30944"/>
        <c:axId val="203895872"/>
      </c:barChart>
      <c:lineChart>
        <c:grouping val="standard"/>
        <c:varyColors val="0"/>
        <c:ser>
          <c:idx val="1"/>
          <c:order val="1"/>
          <c:tx>
            <c:strRef>
              <c:f>'Trend analysis'!$C$101</c:f>
              <c:strCache>
                <c:ptCount val="1"/>
                <c:pt idx="0">
                  <c:v>trend 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'Trend analysis'!$A$102:$A$106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'Trend analysis'!$C$102:$C$106</c:f>
              <c:numCache>
                <c:formatCode>0%</c:formatCode>
                <c:ptCount val="5"/>
                <c:pt idx="0">
                  <c:v>1</c:v>
                </c:pt>
                <c:pt idx="1">
                  <c:v>0.89</c:v>
                </c:pt>
                <c:pt idx="2">
                  <c:v>0.37</c:v>
                </c:pt>
                <c:pt idx="3">
                  <c:v>1.34</c:v>
                </c:pt>
                <c:pt idx="4">
                  <c:v>0.83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959808"/>
        <c:axId val="203896448"/>
      </c:lineChart>
      <c:catAx>
        <c:axId val="2037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95872"/>
        <c:crosses val="autoZero"/>
        <c:auto val="1"/>
        <c:lblAlgn val="ctr"/>
        <c:lblOffset val="100"/>
        <c:noMultiLvlLbl val="0"/>
      </c:catAx>
      <c:valAx>
        <c:axId val="2038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730944"/>
        <c:crosses val="autoZero"/>
        <c:crossBetween val="between"/>
      </c:valAx>
      <c:catAx>
        <c:axId val="203959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96448"/>
        <c:crosses val="autoZero"/>
        <c:auto val="1"/>
        <c:lblAlgn val="ctr"/>
        <c:lblOffset val="100"/>
        <c:noMultiLvlLbl val="0"/>
      </c:catAx>
      <c:valAx>
        <c:axId val="2038964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95980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82550</xdr:colOff>
      <xdr:row>2</xdr:row>
      <xdr:rowOff>105410</xdr:rowOff>
    </xdr:from>
    <xdr:to>
      <xdr:col>10</xdr:col>
      <xdr:colOff>605155</xdr:colOff>
      <xdr:row>17</xdr:row>
      <xdr:rowOff>110490</xdr:rowOff>
    </xdr:to>
    <xdr:graphicFrame>
      <xdr:nvGraphicFramePr>
        <xdr:cNvPr id="2" name="Chart 1"/>
        <xdr:cNvGraphicFramePr/>
      </xdr:nvGraphicFramePr>
      <xdr:xfrm>
        <a:off x="4255770" y="471170"/>
        <a:ext cx="4271645" cy="274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81915</xdr:colOff>
      <xdr:row>19</xdr:row>
      <xdr:rowOff>15240</xdr:rowOff>
    </xdr:from>
    <xdr:to>
      <xdr:col>10</xdr:col>
      <xdr:colOff>584835</xdr:colOff>
      <xdr:row>32</xdr:row>
      <xdr:rowOff>175260</xdr:rowOff>
    </xdr:to>
    <xdr:graphicFrame>
      <xdr:nvGraphicFramePr>
        <xdr:cNvPr id="3" name="Chart 2"/>
        <xdr:cNvGraphicFramePr/>
      </xdr:nvGraphicFramePr>
      <xdr:xfrm>
        <a:off x="4255135" y="3489960"/>
        <a:ext cx="4251960" cy="2537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41275</xdr:colOff>
      <xdr:row>35</xdr:row>
      <xdr:rowOff>85090</xdr:rowOff>
    </xdr:from>
    <xdr:to>
      <xdr:col>10</xdr:col>
      <xdr:colOff>607695</xdr:colOff>
      <xdr:row>49</xdr:row>
      <xdr:rowOff>86360</xdr:rowOff>
    </xdr:to>
    <xdr:graphicFrame>
      <xdr:nvGraphicFramePr>
        <xdr:cNvPr id="4" name="Chart 3"/>
        <xdr:cNvGraphicFramePr/>
      </xdr:nvGraphicFramePr>
      <xdr:xfrm>
        <a:off x="4214495" y="6485890"/>
        <a:ext cx="4315460" cy="2561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102235</xdr:colOff>
      <xdr:row>51</xdr:row>
      <xdr:rowOff>19050</xdr:rowOff>
    </xdr:from>
    <xdr:to>
      <xdr:col>11</xdr:col>
      <xdr:colOff>9525</xdr:colOff>
      <xdr:row>64</xdr:row>
      <xdr:rowOff>167640</xdr:rowOff>
    </xdr:to>
    <xdr:graphicFrame>
      <xdr:nvGraphicFramePr>
        <xdr:cNvPr id="5" name="Chart 4"/>
        <xdr:cNvGraphicFramePr/>
      </xdr:nvGraphicFramePr>
      <xdr:xfrm>
        <a:off x="4275455" y="9345930"/>
        <a:ext cx="4273550" cy="2526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35560</xdr:colOff>
      <xdr:row>66</xdr:row>
      <xdr:rowOff>170815</xdr:rowOff>
    </xdr:from>
    <xdr:to>
      <xdr:col>11</xdr:col>
      <xdr:colOff>22225</xdr:colOff>
      <xdr:row>80</xdr:row>
      <xdr:rowOff>158750</xdr:rowOff>
    </xdr:to>
    <xdr:graphicFrame>
      <xdr:nvGraphicFramePr>
        <xdr:cNvPr id="6" name="Chart 5"/>
        <xdr:cNvGraphicFramePr/>
      </xdr:nvGraphicFramePr>
      <xdr:xfrm>
        <a:off x="4208780" y="12240895"/>
        <a:ext cx="4352925" cy="2548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54610</xdr:colOff>
      <xdr:row>82</xdr:row>
      <xdr:rowOff>59055</xdr:rowOff>
    </xdr:from>
    <xdr:to>
      <xdr:col>11</xdr:col>
      <xdr:colOff>20320</xdr:colOff>
      <xdr:row>96</xdr:row>
      <xdr:rowOff>140970</xdr:rowOff>
    </xdr:to>
    <xdr:graphicFrame>
      <xdr:nvGraphicFramePr>
        <xdr:cNvPr id="7" name="Chart 6"/>
        <xdr:cNvGraphicFramePr/>
      </xdr:nvGraphicFramePr>
      <xdr:xfrm>
        <a:off x="4227830" y="15055215"/>
        <a:ext cx="4331970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114935</xdr:colOff>
      <xdr:row>98</xdr:row>
      <xdr:rowOff>70485</xdr:rowOff>
    </xdr:from>
    <xdr:to>
      <xdr:col>11</xdr:col>
      <xdr:colOff>51435</xdr:colOff>
      <xdr:row>112</xdr:row>
      <xdr:rowOff>123190</xdr:rowOff>
    </xdr:to>
    <xdr:graphicFrame>
      <xdr:nvGraphicFramePr>
        <xdr:cNvPr id="8" name="Chart 7"/>
        <xdr:cNvGraphicFramePr/>
      </xdr:nvGraphicFramePr>
      <xdr:xfrm>
        <a:off x="4288155" y="17992725"/>
        <a:ext cx="4302760" cy="2613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zoomScale="130" zoomScaleNormal="130" workbookViewId="0">
      <selection activeCell="C12" sqref="C12"/>
    </sheetView>
  </sheetViews>
  <sheetFormatPr defaultColWidth="9" defaultRowHeight="14.4"/>
  <cols>
    <col min="2" max="2" width="18.712962962963" customWidth="1"/>
    <col min="3" max="3" width="24.1388888888889" customWidth="1"/>
    <col min="5" max="5" width="9.66666666666667"/>
  </cols>
  <sheetData>
    <row r="1" spans="4:5">
      <c r="D1" t="s">
        <v>0</v>
      </c>
      <c r="E1">
        <v>22381056</v>
      </c>
    </row>
    <row r="2" spans="1:1">
      <c r="A2" s="1" t="s">
        <v>1</v>
      </c>
    </row>
    <row r="4" spans="1:3">
      <c r="A4" s="2" t="s">
        <v>2</v>
      </c>
      <c r="B4" s="3" t="s">
        <v>3</v>
      </c>
      <c r="C4" s="4" t="s">
        <v>4</v>
      </c>
    </row>
    <row r="5" spans="1:3">
      <c r="A5" s="2">
        <v>2017</v>
      </c>
      <c r="B5" s="2">
        <v>200</v>
      </c>
      <c r="C5" s="5">
        <v>1</v>
      </c>
    </row>
    <row r="6" spans="1:3">
      <c r="A6" s="2">
        <v>2018</v>
      </c>
      <c r="B6" s="2">
        <v>212</v>
      </c>
      <c r="C6" s="6">
        <f ca="1">#REF!/$C$8</f>
        <v>1.06</v>
      </c>
    </row>
    <row r="7" spans="1:3">
      <c r="A7" s="2">
        <v>2019</v>
      </c>
      <c r="B7" s="2">
        <v>130</v>
      </c>
      <c r="C7" s="6">
        <f ca="1">#REF!/$C$8</f>
        <v>0.65</v>
      </c>
    </row>
    <row r="8" spans="1:3">
      <c r="A8" s="2">
        <v>2020</v>
      </c>
      <c r="B8" s="2">
        <v>254</v>
      </c>
      <c r="C8" s="6">
        <f ca="1">#REF!/$C$8</f>
        <v>1.27</v>
      </c>
    </row>
    <row r="9" spans="1:3">
      <c r="A9" s="2">
        <v>2021</v>
      </c>
      <c r="B9" s="2">
        <v>266</v>
      </c>
      <c r="C9" s="6">
        <f ca="1">#REF!/$C$8</f>
        <v>1.33</v>
      </c>
    </row>
    <row r="10" spans="2:2">
      <c r="B10" s="7"/>
    </row>
    <row r="22" spans="1:3">
      <c r="A22" s="2" t="s">
        <v>2</v>
      </c>
      <c r="B22" s="3" t="s">
        <v>5</v>
      </c>
      <c r="C22" s="4" t="s">
        <v>6</v>
      </c>
    </row>
    <row r="23" spans="1:3">
      <c r="A23" s="2">
        <v>2017</v>
      </c>
      <c r="B23" s="2">
        <v>146</v>
      </c>
      <c r="C23" s="8">
        <v>1</v>
      </c>
    </row>
    <row r="24" spans="1:3">
      <c r="A24" s="2">
        <v>2018</v>
      </c>
      <c r="B24" s="2">
        <v>158</v>
      </c>
      <c r="C24" s="6">
        <v>1.08219178082192</v>
      </c>
    </row>
    <row r="25" spans="1:3">
      <c r="A25" s="2">
        <v>2019</v>
      </c>
      <c r="B25" s="2">
        <v>82</v>
      </c>
      <c r="C25" s="6">
        <v>0.561643835616438</v>
      </c>
    </row>
    <row r="26" spans="1:3">
      <c r="A26" s="2">
        <v>2020</v>
      </c>
      <c r="B26" s="2">
        <v>174</v>
      </c>
      <c r="C26" s="6">
        <v>1.19178082191781</v>
      </c>
    </row>
    <row r="27" spans="1:3">
      <c r="A27" s="2">
        <v>2021</v>
      </c>
      <c r="B27" s="2">
        <v>189</v>
      </c>
      <c r="C27" s="6">
        <v>1.29452054794521</v>
      </c>
    </row>
    <row r="28" spans="2:2">
      <c r="B28" s="7"/>
    </row>
    <row r="37" spans="1:3">
      <c r="A37" s="2" t="s">
        <v>2</v>
      </c>
      <c r="B37" s="3" t="s">
        <v>7</v>
      </c>
      <c r="C37" s="4" t="s">
        <v>8</v>
      </c>
    </row>
    <row r="38" spans="1:3">
      <c r="A38" s="2">
        <v>2017</v>
      </c>
      <c r="B38" s="2">
        <v>54</v>
      </c>
      <c r="C38" s="6">
        <v>1</v>
      </c>
    </row>
    <row r="39" spans="1:3">
      <c r="A39" s="2">
        <v>2018</v>
      </c>
      <c r="B39" s="2">
        <v>54</v>
      </c>
      <c r="C39" s="6">
        <v>1</v>
      </c>
    </row>
    <row r="40" spans="1:3">
      <c r="A40" s="2">
        <v>2019</v>
      </c>
      <c r="B40" s="2">
        <v>48</v>
      </c>
      <c r="C40" s="6">
        <v>0.89</v>
      </c>
    </row>
    <row r="41" spans="1:3">
      <c r="A41" s="2">
        <v>2020</v>
      </c>
      <c r="B41" s="2">
        <v>80</v>
      </c>
      <c r="C41" s="6">
        <v>1.48</v>
      </c>
    </row>
    <row r="42" spans="1:3">
      <c r="A42" s="2">
        <v>2021</v>
      </c>
      <c r="B42" s="2">
        <v>77</v>
      </c>
      <c r="C42" s="6">
        <v>1.43</v>
      </c>
    </row>
    <row r="54" spans="1:3">
      <c r="A54" s="9" t="s">
        <v>2</v>
      </c>
      <c r="B54" s="10" t="s">
        <v>9</v>
      </c>
      <c r="C54" s="11" t="s">
        <v>10</v>
      </c>
    </row>
    <row r="55" spans="1:3">
      <c r="A55" s="9">
        <v>2017</v>
      </c>
      <c r="B55" s="9">
        <v>11</v>
      </c>
      <c r="C55" s="12">
        <v>1</v>
      </c>
    </row>
    <row r="56" spans="1:3">
      <c r="A56" s="9">
        <v>2018</v>
      </c>
      <c r="B56" s="9">
        <v>13</v>
      </c>
      <c r="C56" s="12">
        <v>1.18</v>
      </c>
    </row>
    <row r="57" spans="1:3">
      <c r="A57" s="9">
        <v>2019</v>
      </c>
      <c r="B57" s="9">
        <v>12</v>
      </c>
      <c r="C57" s="12">
        <v>1.09</v>
      </c>
    </row>
    <row r="58" spans="1:3">
      <c r="A58" s="9">
        <v>2020</v>
      </c>
      <c r="B58" s="9">
        <v>23</v>
      </c>
      <c r="C58" s="12">
        <v>2.09</v>
      </c>
    </row>
    <row r="59" spans="1:3">
      <c r="A59" s="9">
        <v>2021</v>
      </c>
      <c r="B59" s="9">
        <v>36</v>
      </c>
      <c r="C59" s="12">
        <v>3.27</v>
      </c>
    </row>
    <row r="69" spans="1:3">
      <c r="A69" s="2" t="s">
        <v>2</v>
      </c>
      <c r="B69" s="3" t="s">
        <v>11</v>
      </c>
      <c r="C69" s="4" t="s">
        <v>12</v>
      </c>
    </row>
    <row r="70" spans="1:3">
      <c r="A70" s="2">
        <v>2017</v>
      </c>
      <c r="B70" s="2">
        <v>43</v>
      </c>
      <c r="C70" s="8">
        <v>1</v>
      </c>
    </row>
    <row r="71" spans="1:3">
      <c r="A71" s="2">
        <v>2018</v>
      </c>
      <c r="B71" s="2">
        <v>41</v>
      </c>
      <c r="C71" s="8">
        <v>0.95</v>
      </c>
    </row>
    <row r="72" spans="1:3">
      <c r="A72" s="2">
        <v>2019</v>
      </c>
      <c r="B72" s="2">
        <v>36</v>
      </c>
      <c r="C72" s="8">
        <v>0.84</v>
      </c>
    </row>
    <row r="73" spans="1:3">
      <c r="A73" s="2">
        <v>2020</v>
      </c>
      <c r="B73" s="2">
        <v>57</v>
      </c>
      <c r="C73" s="8">
        <v>1.33</v>
      </c>
    </row>
    <row r="74" spans="1:3">
      <c r="A74" s="2">
        <v>2021</v>
      </c>
      <c r="B74" s="2">
        <v>41</v>
      </c>
      <c r="C74" s="8">
        <v>0.95</v>
      </c>
    </row>
    <row r="85" spans="1:3">
      <c r="A85" s="2" t="s">
        <v>2</v>
      </c>
      <c r="B85" s="3" t="s">
        <v>13</v>
      </c>
      <c r="C85" s="4" t="s">
        <v>14</v>
      </c>
    </row>
    <row r="86" spans="1:3">
      <c r="A86" s="2">
        <v>2017</v>
      </c>
      <c r="B86" s="2">
        <v>8</v>
      </c>
      <c r="C86" s="8">
        <v>1</v>
      </c>
    </row>
    <row r="87" spans="1:3">
      <c r="A87" s="2">
        <v>2018</v>
      </c>
      <c r="B87" s="2">
        <v>10</v>
      </c>
      <c r="C87" s="8">
        <v>1.25</v>
      </c>
    </row>
    <row r="88" spans="1:3">
      <c r="A88" s="2">
        <v>2019</v>
      </c>
      <c r="B88" s="2">
        <v>23</v>
      </c>
      <c r="C88" s="8">
        <v>2.88</v>
      </c>
    </row>
    <row r="89" spans="1:3">
      <c r="A89" s="2">
        <v>2020</v>
      </c>
      <c r="B89" s="2">
        <v>10</v>
      </c>
      <c r="C89" s="8">
        <v>1.25</v>
      </c>
    </row>
    <row r="90" spans="1:3">
      <c r="A90" s="2">
        <v>2021</v>
      </c>
      <c r="B90" s="2">
        <v>12</v>
      </c>
      <c r="C90" s="8">
        <v>1.5</v>
      </c>
    </row>
    <row r="101" spans="1:3">
      <c r="A101" s="2" t="s">
        <v>2</v>
      </c>
      <c r="B101" s="3" t="s">
        <v>15</v>
      </c>
      <c r="C101" s="4" t="s">
        <v>16</v>
      </c>
    </row>
    <row r="102" spans="1:3">
      <c r="A102" s="2">
        <v>2017</v>
      </c>
      <c r="B102" s="2">
        <v>35</v>
      </c>
      <c r="C102" s="8">
        <v>1</v>
      </c>
    </row>
    <row r="103" spans="1:3">
      <c r="A103" s="2">
        <v>2018</v>
      </c>
      <c r="B103" s="2">
        <v>31</v>
      </c>
      <c r="C103" s="8">
        <v>0.89</v>
      </c>
    </row>
    <row r="104" spans="1:3">
      <c r="A104" s="2">
        <v>2019</v>
      </c>
      <c r="B104" s="2">
        <v>13</v>
      </c>
      <c r="C104" s="8">
        <v>0.37</v>
      </c>
    </row>
    <row r="105" spans="1:3">
      <c r="A105" s="2">
        <v>2020</v>
      </c>
      <c r="B105" s="2">
        <v>47</v>
      </c>
      <c r="C105" s="8">
        <v>1.34</v>
      </c>
    </row>
    <row r="106" spans="1:3">
      <c r="A106" s="2">
        <v>2021</v>
      </c>
      <c r="B106" s="2">
        <v>29</v>
      </c>
      <c r="C106" s="8">
        <v>0.83</v>
      </c>
    </row>
    <row r="119" spans="2:9">
      <c r="B119" s="9" t="s">
        <v>2</v>
      </c>
      <c r="C119" s="10" t="s">
        <v>3</v>
      </c>
      <c r="D119" s="10" t="s">
        <v>5</v>
      </c>
      <c r="E119" s="10" t="s">
        <v>17</v>
      </c>
      <c r="F119" s="10" t="s">
        <v>9</v>
      </c>
      <c r="G119" s="10" t="s">
        <v>11</v>
      </c>
      <c r="H119" s="10" t="s">
        <v>13</v>
      </c>
      <c r="I119" s="10" t="s">
        <v>15</v>
      </c>
    </row>
    <row r="120" spans="2:9">
      <c r="B120" s="9">
        <v>2017</v>
      </c>
      <c r="C120" s="9">
        <v>200</v>
      </c>
      <c r="D120" s="9">
        <v>146</v>
      </c>
      <c r="E120" s="9">
        <v>54</v>
      </c>
      <c r="F120" s="9">
        <v>11</v>
      </c>
      <c r="G120" s="9">
        <v>43</v>
      </c>
      <c r="H120" s="9">
        <v>8</v>
      </c>
      <c r="I120" s="9">
        <v>35</v>
      </c>
    </row>
    <row r="121" spans="2:9">
      <c r="B121" s="9">
        <v>2018</v>
      </c>
      <c r="C121" s="9">
        <v>212</v>
      </c>
      <c r="D121" s="9">
        <v>158</v>
      </c>
      <c r="E121" s="9">
        <v>54</v>
      </c>
      <c r="F121" s="9">
        <v>13</v>
      </c>
      <c r="G121" s="9">
        <v>41</v>
      </c>
      <c r="H121" s="9">
        <v>10</v>
      </c>
      <c r="I121" s="9">
        <v>31</v>
      </c>
    </row>
    <row r="122" spans="2:9">
      <c r="B122" s="9">
        <v>2019</v>
      </c>
      <c r="C122" s="9">
        <v>130</v>
      </c>
      <c r="D122" s="9">
        <v>82</v>
      </c>
      <c r="E122" s="9">
        <v>48</v>
      </c>
      <c r="F122" s="9">
        <v>12</v>
      </c>
      <c r="G122" s="9">
        <v>36</v>
      </c>
      <c r="H122" s="9">
        <v>23</v>
      </c>
      <c r="I122" s="9">
        <v>13</v>
      </c>
    </row>
    <row r="123" spans="2:9">
      <c r="B123" s="9">
        <v>2020</v>
      </c>
      <c r="C123" s="9">
        <v>254</v>
      </c>
      <c r="D123" s="9">
        <v>174</v>
      </c>
      <c r="E123" s="9">
        <v>80</v>
      </c>
      <c r="F123" s="9">
        <v>23</v>
      </c>
      <c r="G123" s="9">
        <v>57</v>
      </c>
      <c r="H123" s="9">
        <v>10</v>
      </c>
      <c r="I123" s="9">
        <v>47</v>
      </c>
    </row>
    <row r="124" spans="2:9">
      <c r="B124" s="9">
        <v>2021</v>
      </c>
      <c r="C124" s="9">
        <v>266</v>
      </c>
      <c r="D124" s="9">
        <v>189</v>
      </c>
      <c r="E124" s="9">
        <v>77</v>
      </c>
      <c r="F124" s="9">
        <v>36</v>
      </c>
      <c r="G124" s="9">
        <v>41</v>
      </c>
      <c r="H124" s="9">
        <v>12</v>
      </c>
      <c r="I124" s="9">
        <v>29</v>
      </c>
    </row>
    <row r="125" spans="2:9">
      <c r="B125" s="13" t="s">
        <v>18</v>
      </c>
      <c r="C125" s="14">
        <f>(C124-C120)/C120</f>
        <v>0.33</v>
      </c>
      <c r="D125" s="14">
        <f>(D124-D120)/D120</f>
        <v>0.294520547945205</v>
      </c>
      <c r="E125" s="14">
        <f t="shared" ref="E125:I125" si="0">(E124-E120)/E120</f>
        <v>0.425925925925926</v>
      </c>
      <c r="F125" s="14">
        <f t="shared" si="0"/>
        <v>2.27272727272727</v>
      </c>
      <c r="G125" s="14">
        <f t="shared" si="0"/>
        <v>-0.0465116279069767</v>
      </c>
      <c r="H125" s="14">
        <f t="shared" si="0"/>
        <v>0.5</v>
      </c>
      <c r="I125" s="14">
        <f t="shared" si="0"/>
        <v>-0.171428571428571</v>
      </c>
    </row>
    <row r="126" spans="2:9">
      <c r="B126" s="13" t="s">
        <v>19</v>
      </c>
      <c r="C126" s="14">
        <f>C125/5</f>
        <v>0.066</v>
      </c>
      <c r="D126" s="14">
        <f t="shared" ref="D126:I126" si="1">D125/5</f>
        <v>0.0589041095890411</v>
      </c>
      <c r="E126" s="14">
        <f t="shared" si="1"/>
        <v>0.0851851851851852</v>
      </c>
      <c r="F126" s="14">
        <f t="shared" si="1"/>
        <v>0.454545454545455</v>
      </c>
      <c r="G126" s="14">
        <f t="shared" si="1"/>
        <v>-0.00930232558139535</v>
      </c>
      <c r="H126" s="14">
        <f t="shared" si="1"/>
        <v>0.1</v>
      </c>
      <c r="I126" s="14">
        <f t="shared" si="1"/>
        <v>-0.0342857142857143</v>
      </c>
    </row>
    <row r="127" spans="2:9">
      <c r="B127" s="13" t="s">
        <v>20</v>
      </c>
      <c r="C127" s="14">
        <f>(C124/C120)^(1/5)-1</f>
        <v>0.0586936987205566</v>
      </c>
      <c r="D127" s="14">
        <f t="shared" ref="D127:I127" si="2">(D124/D120)^(1/5)-1</f>
        <v>0.0529840424518135</v>
      </c>
      <c r="E127" s="14">
        <f t="shared" si="2"/>
        <v>0.0735428729262866</v>
      </c>
      <c r="F127" s="14">
        <f t="shared" si="2"/>
        <v>0.267599219535015</v>
      </c>
      <c r="G127" s="14">
        <f t="shared" si="2"/>
        <v>-0.00948038488903458</v>
      </c>
      <c r="H127" s="14">
        <f t="shared" si="2"/>
        <v>0.0844717711976986</v>
      </c>
      <c r="I127" s="14">
        <f t="shared" si="2"/>
        <v>-0.0369119576648704</v>
      </c>
    </row>
  </sheetData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'Trend analysis'!A5:A5</xm:f>
              <xm:sqref>A5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'Trend analysis'!A23:A23</xm:f>
              <xm:sqref>A23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'Trend analysis'!B120:B120</xm:f>
              <xm:sqref>B120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Trend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SHANMUGAN RAJ</dc:creator>
  <cp:lastModifiedBy>balas</cp:lastModifiedBy>
  <dcterms:created xsi:type="dcterms:W3CDTF">2023-05-09T01:37:00Z</dcterms:created>
  <dcterms:modified xsi:type="dcterms:W3CDTF">2023-05-09T17:47:05Z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FEF0F311C8224FD6AE189B599E0413E6</vt:lpwstr>
  </property>
</Properties>
</file>