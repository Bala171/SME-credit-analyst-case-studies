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215" activeTab="3"/>
  </bookViews>
  <sheets>
    <sheet name="Sheet1" sheetId="1" r:id="rId1"/>
    <sheet name="Sheet3" sheetId="4" r:id="rId2"/>
    <sheet name="Sheet2" sheetId="2" r:id="rId3"/>
    <sheet name="Sheet4" sheetId="5" r:id="rId4"/>
  </sheets>
  <calcPr calcId="144525"/>
</workbook>
</file>

<file path=xl/sharedStrings.xml><?xml version="1.0" encoding="utf-8"?>
<sst xmlns="http://schemas.openxmlformats.org/spreadsheetml/2006/main" count="65" uniqueCount="53">
  <si>
    <t>Calculation of cash from operating activities</t>
  </si>
  <si>
    <t>Particulars</t>
  </si>
  <si>
    <t>Amount</t>
  </si>
  <si>
    <t>Net Profit for the year</t>
  </si>
  <si>
    <t>Add: Nonfund or non operating items</t>
  </si>
  <si>
    <t xml:space="preserve">      Amount transfer to general reserve</t>
  </si>
  <si>
    <t xml:space="preserve">     Other reserve</t>
  </si>
  <si>
    <t xml:space="preserve">     Provision for taxation</t>
  </si>
  <si>
    <t xml:space="preserve">     Provision for dividend</t>
  </si>
  <si>
    <t xml:space="preserve">     Depreciation on furnitures and fixtures</t>
  </si>
  <si>
    <t xml:space="preserve">     Depreciation on motor vehicle</t>
  </si>
  <si>
    <t xml:space="preserve">     Preliminary expenses written off</t>
  </si>
  <si>
    <t xml:space="preserve">         Total nonfund or nonoperating items</t>
  </si>
  <si>
    <t>Less:  Operating profit and loss a/c</t>
  </si>
  <si>
    <t>Less: Tax paid</t>
  </si>
  <si>
    <t>Cash from operating profit</t>
  </si>
  <si>
    <t>Add: Decrease in current assets</t>
  </si>
  <si>
    <t xml:space="preserve">       Decrease in bills receivable</t>
  </si>
  <si>
    <t xml:space="preserve">      Decrease in prepaid expenses</t>
  </si>
  <si>
    <t xml:space="preserve">      Decrease in stock</t>
  </si>
  <si>
    <t>Add: Increase in current liabilities</t>
  </si>
  <si>
    <t xml:space="preserve">       Increase in sundry creditors</t>
  </si>
  <si>
    <t xml:space="preserve">       Increase in outstanding expenses</t>
  </si>
  <si>
    <t>Less: Increase in current assets</t>
  </si>
  <si>
    <t xml:space="preserve">        Increase in sundry debtor</t>
  </si>
  <si>
    <t>Less: Decrease in current liabilities</t>
  </si>
  <si>
    <t>Nil</t>
  </si>
  <si>
    <t>Cash from operating activities</t>
  </si>
  <si>
    <t>Calculation of cash from financing activities</t>
  </si>
  <si>
    <t>Cash inflows:</t>
  </si>
  <si>
    <t>Issue of equity capital</t>
  </si>
  <si>
    <t>Total inflow</t>
  </si>
  <si>
    <t>Cash outflow:</t>
  </si>
  <si>
    <t>Redemption of preference share capital</t>
  </si>
  <si>
    <t>Redemption of debentures</t>
  </si>
  <si>
    <t>Redemption of mortgage loans</t>
  </si>
  <si>
    <t>Dividend/Interim dividend paid</t>
  </si>
  <si>
    <t>Total outflow</t>
  </si>
  <si>
    <t>Net cash flow from financing activities</t>
  </si>
  <si>
    <t>Calculation of cash from investment activities</t>
  </si>
  <si>
    <t xml:space="preserve">     Sale of trade investment</t>
  </si>
  <si>
    <t xml:space="preserve">     Sale of other long term loans</t>
  </si>
  <si>
    <t>Cash outflows:</t>
  </si>
  <si>
    <t xml:space="preserve">    Purchase of land</t>
  </si>
  <si>
    <t xml:space="preserve">   Purchase of plant and machinery</t>
  </si>
  <si>
    <t>Net cash flow from investing activities</t>
  </si>
  <si>
    <t>Cash flow statement</t>
  </si>
  <si>
    <t>Cash flow from operating activities</t>
  </si>
  <si>
    <t>Cash flow from investing activities</t>
  </si>
  <si>
    <t>Cash flow from financing activities</t>
  </si>
  <si>
    <t>Net increase/decrease in cash</t>
  </si>
  <si>
    <t>Add: Opening balance of cash and cash equivalents</t>
  </si>
  <si>
    <t>Closing balance of cash and cash equivalents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</si>
</sst>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5" fillId="6" borderId="0" applyNumberFormat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11" borderId="8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3" fillId="16" borderId="10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3" borderId="11" applyNumberForma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1" fillId="30" borderId="13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0" fillId="30" borderId="11" applyNumberFormat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4" fillId="0" borderId="6" applyNumberFormat="0" applyFill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1" xfId="0" applyFont="1" applyFill="1" applyBorder="1"/>
    <xf numFmtId="0" fontId="0" fillId="2" borderId="4" xfId="0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1" xfId="0" applyFill="1" applyBorder="1" applyAlignment="1">
      <alignment horizontal="left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workbookViewId="0">
      <selection activeCell="A15" sqref="A15"/>
    </sheetView>
  </sheetViews>
  <sheetFormatPr defaultColWidth="9" defaultRowHeight="14.4" outlineLevelCol="2"/>
  <cols>
    <col min="1" max="1" width="39.7777777777778" customWidth="1"/>
    <col min="2" max="2" width="22.8888888888889" customWidth="1"/>
    <col min="3" max="3" width="30.3333333333333" customWidth="1"/>
  </cols>
  <sheetData>
    <row r="1" spans="1:3">
      <c r="A1" s="1" t="s">
        <v>0</v>
      </c>
      <c r="B1" s="1"/>
      <c r="C1" s="1"/>
    </row>
    <row r="2" spans="1:3">
      <c r="A2" s="2" t="s">
        <v>1</v>
      </c>
      <c r="B2" s="2" t="s">
        <v>2</v>
      </c>
      <c r="C2" s="2" t="s">
        <v>2</v>
      </c>
    </row>
    <row r="3" spans="1:3">
      <c r="A3" s="16" t="s">
        <v>3</v>
      </c>
      <c r="B3" s="18"/>
      <c r="C3" s="4">
        <v>185000</v>
      </c>
    </row>
    <row r="4" spans="1:3">
      <c r="A4" s="16" t="s">
        <v>4</v>
      </c>
      <c r="B4" s="18"/>
      <c r="C4" s="18"/>
    </row>
    <row r="5" spans="1:3">
      <c r="A5" s="16" t="s">
        <v>5</v>
      </c>
      <c r="B5" s="18">
        <v>20000</v>
      </c>
      <c r="C5" s="18"/>
    </row>
    <row r="6" spans="1:3">
      <c r="A6" s="16" t="s">
        <v>6</v>
      </c>
      <c r="B6" s="18">
        <v>10000</v>
      </c>
      <c r="C6" s="18"/>
    </row>
    <row r="7" spans="1:3">
      <c r="A7" s="16" t="s">
        <v>7</v>
      </c>
      <c r="B7" s="18">
        <v>25000</v>
      </c>
      <c r="C7" s="18"/>
    </row>
    <row r="8" spans="1:3">
      <c r="A8" s="16" t="s">
        <v>8</v>
      </c>
      <c r="B8" s="18">
        <v>30000</v>
      </c>
      <c r="C8" s="18"/>
    </row>
    <row r="9" spans="1:3">
      <c r="A9" s="16" t="s">
        <v>9</v>
      </c>
      <c r="B9" s="18">
        <v>10000</v>
      </c>
      <c r="C9" s="18"/>
    </row>
    <row r="10" spans="1:3">
      <c r="A10" s="16" t="s">
        <v>10</v>
      </c>
      <c r="B10" s="18">
        <v>20000</v>
      </c>
      <c r="C10" s="18"/>
    </row>
    <row r="11" spans="1:3">
      <c r="A11" s="16" t="s">
        <v>11</v>
      </c>
      <c r="B11" s="18">
        <v>10000</v>
      </c>
      <c r="C11" s="19">
        <v>125000</v>
      </c>
    </row>
    <row r="12" spans="1:3">
      <c r="A12" s="16" t="s">
        <v>12</v>
      </c>
      <c r="B12" s="20"/>
      <c r="C12" s="4">
        <f>C3+C11</f>
        <v>310000</v>
      </c>
    </row>
    <row r="13" spans="1:3">
      <c r="A13" s="21"/>
      <c r="B13" s="18"/>
      <c r="C13" s="22"/>
    </row>
    <row r="14" spans="1:3">
      <c r="A14" s="21" t="s">
        <v>13</v>
      </c>
      <c r="B14" s="18">
        <v>125000</v>
      </c>
      <c r="C14" s="18"/>
    </row>
    <row r="15" spans="1:3">
      <c r="A15" s="21" t="s">
        <v>14</v>
      </c>
      <c r="B15" s="18">
        <v>20000</v>
      </c>
      <c r="C15" s="23">
        <v>145000</v>
      </c>
    </row>
    <row r="16" spans="1:3">
      <c r="A16" s="18" t="s">
        <v>15</v>
      </c>
      <c r="B16" s="18"/>
      <c r="C16" s="4">
        <f>C12-C15</f>
        <v>165000</v>
      </c>
    </row>
    <row r="17" spans="1:3">
      <c r="A17" s="24" t="s">
        <v>16</v>
      </c>
      <c r="B17" s="18"/>
      <c r="C17" s="22"/>
    </row>
    <row r="18" spans="1:3">
      <c r="A18" s="21" t="s">
        <v>17</v>
      </c>
      <c r="B18" s="18">
        <v>10000</v>
      </c>
      <c r="C18" s="18"/>
    </row>
    <row r="19" spans="1:3">
      <c r="A19" s="21" t="s">
        <v>18</v>
      </c>
      <c r="B19" s="18">
        <v>10000</v>
      </c>
      <c r="C19" s="18"/>
    </row>
    <row r="20" spans="1:3">
      <c r="A20" s="21" t="s">
        <v>19</v>
      </c>
      <c r="B20" s="18">
        <v>15000</v>
      </c>
      <c r="C20" s="23">
        <f>SUM(B18:B20)</f>
        <v>35000</v>
      </c>
    </row>
    <row r="21" spans="1:3">
      <c r="A21" s="18"/>
      <c r="B21" s="18"/>
      <c r="C21" s="18">
        <f>C16+C20</f>
        <v>200000</v>
      </c>
    </row>
    <row r="22" spans="1:3">
      <c r="A22" s="21" t="s">
        <v>20</v>
      </c>
      <c r="B22" s="18"/>
      <c r="C22" s="18"/>
    </row>
    <row r="23" spans="1:3">
      <c r="A23" s="21" t="s">
        <v>21</v>
      </c>
      <c r="B23" s="18">
        <v>30000</v>
      </c>
      <c r="C23" s="18"/>
    </row>
    <row r="24" spans="1:3">
      <c r="A24" s="21" t="s">
        <v>22</v>
      </c>
      <c r="B24" s="18">
        <v>10000</v>
      </c>
      <c r="C24" s="23">
        <f>B23+B24</f>
        <v>40000</v>
      </c>
    </row>
    <row r="25" spans="1:3">
      <c r="A25" s="16"/>
      <c r="B25" s="18"/>
      <c r="C25" s="4">
        <f>C21+C24</f>
        <v>240000</v>
      </c>
    </row>
    <row r="26" spans="1:3">
      <c r="A26" s="21" t="s">
        <v>23</v>
      </c>
      <c r="B26" s="18"/>
      <c r="C26" s="22"/>
    </row>
    <row r="27" spans="1:3">
      <c r="A27" s="21" t="s">
        <v>24</v>
      </c>
      <c r="B27" s="18">
        <v>110000</v>
      </c>
      <c r="C27" s="18"/>
    </row>
    <row r="28" spans="1:3">
      <c r="A28" s="16" t="s">
        <v>25</v>
      </c>
      <c r="B28" s="18" t="s">
        <v>26</v>
      </c>
      <c r="C28" s="23">
        <v>110000</v>
      </c>
    </row>
    <row r="29" spans="1:3">
      <c r="A29" s="1" t="s">
        <v>27</v>
      </c>
      <c r="B29" s="15"/>
      <c r="C29" s="1">
        <f>C25-C28</f>
        <v>130000</v>
      </c>
    </row>
    <row r="30" spans="2:3">
      <c r="B30" s="5"/>
      <c r="C30" s="5"/>
    </row>
    <row r="31" spans="2:3">
      <c r="B31" s="5"/>
      <c r="C31" s="5"/>
    </row>
    <row r="32" spans="2:3">
      <c r="B32" s="5"/>
      <c r="C32" s="5"/>
    </row>
  </sheetData>
  <mergeCells count="1">
    <mergeCell ref="A1:C1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A2" sqref="A2:C2"/>
    </sheetView>
  </sheetViews>
  <sheetFormatPr defaultColWidth="9" defaultRowHeight="14.4" outlineLevelCol="2"/>
  <cols>
    <col min="1" max="1" width="34.3333333333333" customWidth="1"/>
    <col min="2" max="2" width="16.5555555555556" customWidth="1"/>
    <col min="3" max="3" width="17.2222222222222" customWidth="1"/>
  </cols>
  <sheetData>
    <row r="1" spans="1:3">
      <c r="A1" s="1" t="s">
        <v>28</v>
      </c>
      <c r="B1" s="1"/>
      <c r="C1" s="1"/>
    </row>
    <row r="2" spans="1:3">
      <c r="A2" s="2" t="s">
        <v>1</v>
      </c>
      <c r="B2" s="2" t="s">
        <v>2</v>
      </c>
      <c r="C2" s="2" t="s">
        <v>2</v>
      </c>
    </row>
    <row r="3" spans="1:3">
      <c r="A3" s="9" t="s">
        <v>29</v>
      </c>
      <c r="B3" s="13"/>
      <c r="C3" s="13"/>
    </row>
    <row r="4" spans="1:3">
      <c r="A4" s="9" t="s">
        <v>30</v>
      </c>
      <c r="B4" s="13">
        <v>100000</v>
      </c>
      <c r="C4" s="13"/>
    </row>
    <row r="5" spans="1:3">
      <c r="A5" s="13" t="s">
        <v>31</v>
      </c>
      <c r="B5" s="13"/>
      <c r="C5" s="8">
        <v>100000</v>
      </c>
    </row>
    <row r="6" spans="1:3">
      <c r="A6" s="9" t="s">
        <v>32</v>
      </c>
      <c r="B6" s="13"/>
      <c r="C6" s="13"/>
    </row>
    <row r="7" spans="1:3">
      <c r="A7" s="9" t="s">
        <v>33</v>
      </c>
      <c r="B7" s="13">
        <v>90000</v>
      </c>
      <c r="C7" s="13"/>
    </row>
    <row r="8" spans="1:3">
      <c r="A8" s="9" t="s">
        <v>34</v>
      </c>
      <c r="B8" s="13">
        <v>100000</v>
      </c>
      <c r="C8" s="13"/>
    </row>
    <row r="9" spans="1:3">
      <c r="A9" s="9" t="s">
        <v>35</v>
      </c>
      <c r="B9" s="13">
        <v>50000</v>
      </c>
      <c r="C9" s="13"/>
    </row>
    <row r="10" spans="1:3">
      <c r="A10" s="9" t="s">
        <v>36</v>
      </c>
      <c r="B10" s="13">
        <v>25000</v>
      </c>
      <c r="C10" s="13"/>
    </row>
    <row r="11" spans="1:3">
      <c r="A11" s="13" t="s">
        <v>37</v>
      </c>
      <c r="B11" s="13"/>
      <c r="C11" s="8">
        <f>(B7+B8+B9+B10)</f>
        <v>265000</v>
      </c>
    </row>
    <row r="12" spans="1:3">
      <c r="A12" s="14" t="s">
        <v>38</v>
      </c>
      <c r="B12" s="15"/>
      <c r="C12" s="1">
        <f>C5-C11</f>
        <v>-165000</v>
      </c>
    </row>
    <row r="13" spans="1:3">
      <c r="A13" s="16"/>
      <c r="B13" s="17"/>
      <c r="C13" s="18"/>
    </row>
  </sheetData>
  <mergeCells count="1">
    <mergeCell ref="A1:C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A2" sqref="A2:C2"/>
    </sheetView>
  </sheetViews>
  <sheetFormatPr defaultColWidth="9" defaultRowHeight="14.4" outlineLevelCol="2"/>
  <cols>
    <col min="1" max="1" width="45.4444444444444" customWidth="1"/>
    <col min="2" max="2" width="13" customWidth="1"/>
    <col min="3" max="3" width="15" customWidth="1"/>
  </cols>
  <sheetData>
    <row r="1" spans="1:3">
      <c r="A1" s="1" t="s">
        <v>39</v>
      </c>
      <c r="B1" s="1"/>
      <c r="C1" s="1"/>
    </row>
    <row r="2" spans="1:3">
      <c r="A2" s="2" t="s">
        <v>1</v>
      </c>
      <c r="B2" s="2" t="s">
        <v>2</v>
      </c>
      <c r="C2" s="2" t="s">
        <v>2</v>
      </c>
    </row>
    <row r="3" spans="1:3">
      <c r="A3" s="3" t="s">
        <v>29</v>
      </c>
      <c r="B3" s="4"/>
      <c r="C3" s="4"/>
    </row>
    <row r="4" spans="1:3">
      <c r="A4" s="3" t="s">
        <v>40</v>
      </c>
      <c r="B4" s="4">
        <v>25000</v>
      </c>
      <c r="C4" s="4"/>
    </row>
    <row r="5" spans="1:3">
      <c r="A5" s="3" t="s">
        <v>41</v>
      </c>
      <c r="B5" s="4">
        <v>50000</v>
      </c>
      <c r="C5" s="6"/>
    </row>
    <row r="6" spans="1:3">
      <c r="A6" s="4" t="s">
        <v>31</v>
      </c>
      <c r="B6" s="7"/>
      <c r="C6" s="8">
        <f>B4+B5</f>
        <v>75000</v>
      </c>
    </row>
    <row r="7" spans="1:3">
      <c r="A7" s="9" t="s">
        <v>42</v>
      </c>
      <c r="B7" s="4"/>
      <c r="C7" s="10"/>
    </row>
    <row r="8" spans="1:3">
      <c r="A8" s="3" t="s">
        <v>43</v>
      </c>
      <c r="B8" s="4">
        <v>100000</v>
      </c>
      <c r="C8" s="4"/>
    </row>
    <row r="9" spans="1:3">
      <c r="A9" s="3" t="s">
        <v>44</v>
      </c>
      <c r="B9" s="4">
        <v>10000</v>
      </c>
      <c r="C9" s="4"/>
    </row>
    <row r="10" spans="1:3">
      <c r="A10" s="4" t="s">
        <v>37</v>
      </c>
      <c r="B10" s="4"/>
      <c r="C10" s="11">
        <v>110000</v>
      </c>
    </row>
    <row r="11" spans="1:3">
      <c r="A11" s="1" t="s">
        <v>45</v>
      </c>
      <c r="B11" s="12"/>
      <c r="C11" s="1">
        <f>C6-C10</f>
        <v>-35000</v>
      </c>
    </row>
    <row r="12" spans="2:3">
      <c r="B12" s="5"/>
      <c r="C12" s="5"/>
    </row>
    <row r="13" spans="2:3">
      <c r="B13" s="5"/>
      <c r="C13" s="5"/>
    </row>
    <row r="14" spans="2:3">
      <c r="B14" s="5"/>
      <c r="C14" s="5"/>
    </row>
    <row r="15" spans="2:3">
      <c r="B15" s="5"/>
      <c r="C15" s="5"/>
    </row>
  </sheetData>
  <mergeCells count="1">
    <mergeCell ref="A1:C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A20" sqref="A20"/>
    </sheetView>
  </sheetViews>
  <sheetFormatPr defaultColWidth="9" defaultRowHeight="14.4" outlineLevelCol="1"/>
  <cols>
    <col min="1" max="1" width="47" customWidth="1"/>
    <col min="2" max="2" width="15.2222222222222" customWidth="1"/>
  </cols>
  <sheetData>
    <row r="1" spans="1:2">
      <c r="A1" s="1" t="s">
        <v>46</v>
      </c>
      <c r="B1" s="1"/>
    </row>
    <row r="2" spans="1:2">
      <c r="A2" s="2" t="s">
        <v>1</v>
      </c>
      <c r="B2" s="2" t="s">
        <v>2</v>
      </c>
    </row>
    <row r="3" spans="1:2">
      <c r="A3" s="3" t="s">
        <v>47</v>
      </c>
      <c r="B3" s="4">
        <v>130000</v>
      </c>
    </row>
    <row r="4" spans="1:2">
      <c r="A4" s="3" t="s">
        <v>48</v>
      </c>
      <c r="B4" s="4">
        <v>-35000</v>
      </c>
    </row>
    <row r="5" spans="1:2">
      <c r="A5" s="3"/>
      <c r="B5" s="4">
        <f>B3+B4</f>
        <v>95000</v>
      </c>
    </row>
    <row r="6" spans="1:2">
      <c r="A6" s="3" t="s">
        <v>49</v>
      </c>
      <c r="B6" s="4">
        <v>-165000</v>
      </c>
    </row>
    <row r="7" spans="1:2">
      <c r="A7" s="1" t="s">
        <v>50</v>
      </c>
      <c r="B7" s="1">
        <f>B5+B6</f>
        <v>-70000</v>
      </c>
    </row>
    <row r="8" spans="1:2">
      <c r="A8" s="3" t="s">
        <v>51</v>
      </c>
      <c r="B8" s="4">
        <v>80000</v>
      </c>
    </row>
    <row r="9" spans="1:2">
      <c r="A9" s="1" t="s">
        <v>52</v>
      </c>
      <c r="B9" s="1">
        <f>B7+B8</f>
        <v>10000</v>
      </c>
    </row>
    <row r="10" spans="2:2">
      <c r="B10" s="5"/>
    </row>
  </sheetData>
  <mergeCells count="1">
    <mergeCell ref="A1:B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</dc:creator>
  <cp:lastModifiedBy>balas</cp:lastModifiedBy>
  <dcterms:created xsi:type="dcterms:W3CDTF">2023-06-28T13:51:00Z</dcterms:created>
  <dcterms:modified xsi:type="dcterms:W3CDTF">2023-06-30T15:17:16Z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BD075508A1B64CD1A2AF3643409FA80B</vt:lpwstr>
  </property>
  <property fmtid="{D5CDD505-2E9C-101B-9397-08002B2CF9AE}" pid="3" name="KSOProductBuildVer">
    <vt:lpwstr>1033-11.2.0.11537</vt:lpwstr>
  </property>
</Properties>
</file>