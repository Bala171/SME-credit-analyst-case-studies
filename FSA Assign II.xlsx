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3"/>
  </bookViews>
  <sheets>
    <sheet name="Problem 1" sheetId="1" r:id="rId1"/>
    <sheet name="Problem 2" sheetId="2" r:id="rId2"/>
    <sheet name="Problem 3" sheetId="3" r:id="rId3"/>
    <sheet name="Problem 4" sheetId="4" r:id="rId4"/>
  </sheets>
  <calcPr calcId="144525"/>
</workbook>
</file>

<file path=xl/sharedStrings.xml><?xml version="1.0" encoding="utf-8"?>
<sst xmlns="http://schemas.openxmlformats.org/spreadsheetml/2006/main" count="69" uniqueCount="51">
  <si>
    <t>Caluclation of Cash From Operations Activites</t>
  </si>
  <si>
    <t xml:space="preserve">Particulars </t>
  </si>
  <si>
    <t xml:space="preserve">Amount </t>
  </si>
  <si>
    <t>Amount</t>
  </si>
  <si>
    <t>Net Profit</t>
  </si>
  <si>
    <t>Add: (Non-fund &amp; Operating Items Or Expenses)</t>
  </si>
  <si>
    <t xml:space="preserve">Depreciation on Fixed assets </t>
  </si>
  <si>
    <t xml:space="preserve">Amoritzation of development cost </t>
  </si>
  <si>
    <t xml:space="preserve">Loss on sales of a machine </t>
  </si>
  <si>
    <t>Provision for doubtful debts</t>
  </si>
  <si>
    <t xml:space="preserve">Provision for taxation </t>
  </si>
  <si>
    <t xml:space="preserve">Transfer to general reserves </t>
  </si>
  <si>
    <t>Less:(Income)</t>
  </si>
  <si>
    <t xml:space="preserve">Gain on sale of fixed assets </t>
  </si>
  <si>
    <t>Cash from Operating Profit:</t>
  </si>
  <si>
    <t xml:space="preserve">Net Profit </t>
  </si>
  <si>
    <t>Add : (Non fund &amp; Operating or Expenses)</t>
  </si>
  <si>
    <t xml:space="preserve">Depreciation Expenses </t>
  </si>
  <si>
    <t>Cash from Operating profit</t>
  </si>
  <si>
    <t>Particulars</t>
  </si>
  <si>
    <t>Net profit</t>
  </si>
  <si>
    <t>Depreciation</t>
  </si>
  <si>
    <t>General Reserve</t>
  </si>
  <si>
    <t>Good will written off</t>
  </si>
  <si>
    <t xml:space="preserve">Add: Decrease in Current Asset </t>
  </si>
  <si>
    <t>Decrease in sundry Debtors/B/R</t>
  </si>
  <si>
    <t>Less: Increase in Current Asset</t>
  </si>
  <si>
    <t>Increase in Prepaid Expenses</t>
  </si>
  <si>
    <t xml:space="preserve">Increase in Inventory </t>
  </si>
  <si>
    <t>Less: Decrease in Current Liabilities</t>
  </si>
  <si>
    <t>Decrease in Tax payable</t>
  </si>
  <si>
    <t>Add: Increase in Current Liabilities</t>
  </si>
  <si>
    <t>Increase in Sundry creditors / B/P</t>
  </si>
  <si>
    <t>Increase in outstanding Expenses</t>
  </si>
  <si>
    <t>Caluclation of Cash From Operations Activities</t>
  </si>
  <si>
    <t>Add:(Non fund &amp; operating items or expense)</t>
  </si>
  <si>
    <t>Depreciation on Building</t>
  </si>
  <si>
    <t>Depreciation on Plant and Machinery</t>
  </si>
  <si>
    <t>Transfer to General Reserves</t>
  </si>
  <si>
    <t>Plant and Machinery having book value of Rs:14000 was sold for</t>
  </si>
  <si>
    <t>Profit on sale of Investment</t>
  </si>
  <si>
    <t>Add:Decrease in Current Asset</t>
  </si>
  <si>
    <t>Decrease in sundry Debtors</t>
  </si>
  <si>
    <t>Less:Increase in Current Asset</t>
  </si>
  <si>
    <t>Increase in prepaid expenses</t>
  </si>
  <si>
    <t>Increase in inventory</t>
  </si>
  <si>
    <t>Increase in Cash</t>
  </si>
  <si>
    <t>Less: Decrease in Current Liabilites</t>
  </si>
  <si>
    <t>Decrease in Outstanding Expenses</t>
  </si>
  <si>
    <t>Increase in Sundry Creditor</t>
  </si>
  <si>
    <t>Increase in Bill Payable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</si>
</sst>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262626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12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8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11" borderId="6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4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47625</xdr:rowOff>
    </xdr:from>
    <xdr:to>
      <xdr:col>7</xdr:col>
      <xdr:colOff>381000</xdr:colOff>
      <xdr:row>12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47625"/>
          <a:ext cx="4625340" cy="2373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7</xdr:col>
      <xdr:colOff>390525</xdr:colOff>
      <xdr:row>12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9525"/>
          <a:ext cx="4625340" cy="2430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7</xdr:col>
      <xdr:colOff>390525</xdr:colOff>
      <xdr:row>14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66675"/>
          <a:ext cx="4625340" cy="265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6</xdr:col>
      <xdr:colOff>314325</xdr:colOff>
      <xdr:row>23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0" y="66675"/>
          <a:ext cx="3884295" cy="440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:M16"/>
  <sheetViews>
    <sheetView workbookViewId="0">
      <selection activeCell="L13" sqref="L13"/>
    </sheetView>
  </sheetViews>
  <sheetFormatPr defaultColWidth="9" defaultRowHeight="14.4"/>
  <cols>
    <col min="10" max="10" width="47.5740740740741" customWidth="1"/>
  </cols>
  <sheetData>
    <row r="1" ht="21" spans="10:13">
      <c r="J1" s="1" t="s">
        <v>0</v>
      </c>
      <c r="K1" s="6"/>
      <c r="L1" s="6"/>
      <c r="M1" s="6"/>
    </row>
    <row r="3" spans="10:12">
      <c r="J3" s="7" t="s">
        <v>1</v>
      </c>
      <c r="K3" s="7" t="s">
        <v>2</v>
      </c>
      <c r="L3" s="7" t="s">
        <v>3</v>
      </c>
    </row>
    <row r="4" spans="10:12">
      <c r="J4" s="3"/>
      <c r="K4" s="3"/>
      <c r="L4" s="3"/>
    </row>
    <row r="5" spans="10:12">
      <c r="J5" s="3" t="s">
        <v>4</v>
      </c>
      <c r="K5" s="3"/>
      <c r="L5" s="3">
        <v>370250</v>
      </c>
    </row>
    <row r="6" spans="10:12">
      <c r="J6" s="4" t="s">
        <v>5</v>
      </c>
      <c r="K6" s="3"/>
      <c r="L6" s="3"/>
    </row>
    <row r="7" spans="10:12">
      <c r="J7" s="3" t="s">
        <v>6</v>
      </c>
      <c r="K7" s="3">
        <v>7500</v>
      </c>
      <c r="L7" s="3"/>
    </row>
    <row r="8" spans="10:12">
      <c r="J8" s="3" t="s">
        <v>7</v>
      </c>
      <c r="K8" s="3">
        <v>5000</v>
      </c>
      <c r="L8" s="3"/>
    </row>
    <row r="9" spans="10:12">
      <c r="J9" s="3" t="s">
        <v>8</v>
      </c>
      <c r="K9" s="3">
        <v>600</v>
      </c>
      <c r="L9" s="3"/>
    </row>
    <row r="10" spans="10:12">
      <c r="J10" s="3" t="s">
        <v>9</v>
      </c>
      <c r="K10" s="3">
        <v>1200</v>
      </c>
      <c r="L10" s="3"/>
    </row>
    <row r="11" spans="10:12">
      <c r="J11" s="3" t="s">
        <v>10</v>
      </c>
      <c r="K11" s="3">
        <v>50000</v>
      </c>
      <c r="L11" s="3"/>
    </row>
    <row r="12" spans="10:12">
      <c r="J12" s="3" t="s">
        <v>11</v>
      </c>
      <c r="K12" s="3">
        <v>20000</v>
      </c>
      <c r="L12" s="8">
        <f>SUM(K7:K12)</f>
        <v>84300</v>
      </c>
    </row>
    <row r="13" spans="10:12">
      <c r="J13" s="3"/>
      <c r="K13" s="9"/>
      <c r="L13" s="4">
        <f>L5+L12</f>
        <v>454550</v>
      </c>
    </row>
    <row r="14" spans="10:12">
      <c r="J14" s="10" t="s">
        <v>12</v>
      </c>
      <c r="K14" s="3"/>
      <c r="L14" s="11"/>
    </row>
    <row r="15" spans="10:12">
      <c r="J15" s="3" t="s">
        <v>13</v>
      </c>
      <c r="K15" s="3">
        <v>2500</v>
      </c>
      <c r="L15" s="3"/>
    </row>
    <row r="16" spans="10:12">
      <c r="J16" s="4" t="s">
        <v>14</v>
      </c>
      <c r="K16" s="3"/>
      <c r="L16" s="4">
        <f>L13-K15</f>
        <v>452050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:M9"/>
  <sheetViews>
    <sheetView workbookViewId="0">
      <selection activeCell="J8" sqref="J8"/>
    </sheetView>
  </sheetViews>
  <sheetFormatPr defaultColWidth="9" defaultRowHeight="14.4"/>
  <cols>
    <col min="11" max="11" width="42" customWidth="1"/>
    <col min="12" max="12" width="8.13888888888889" customWidth="1"/>
  </cols>
  <sheetData>
    <row r="1" ht="21" spans="11:11">
      <c r="K1" s="1" t="s">
        <v>0</v>
      </c>
    </row>
    <row r="3" spans="10:13">
      <c r="J3" s="6"/>
      <c r="K3" s="2" t="s">
        <v>1</v>
      </c>
      <c r="L3" s="2" t="s">
        <v>3</v>
      </c>
      <c r="M3" s="2" t="s">
        <v>3</v>
      </c>
    </row>
    <row r="4" spans="11:13">
      <c r="K4" s="3"/>
      <c r="L4" s="3"/>
      <c r="M4" s="3"/>
    </row>
    <row r="5" spans="11:13">
      <c r="K5" s="3" t="s">
        <v>15</v>
      </c>
      <c r="L5" s="3"/>
      <c r="M5" s="3">
        <v>178400</v>
      </c>
    </row>
    <row r="6" spans="11:13">
      <c r="K6" s="4" t="s">
        <v>16</v>
      </c>
      <c r="L6" s="3"/>
      <c r="M6" s="3"/>
    </row>
    <row r="7" spans="11:13">
      <c r="K7" s="3" t="s">
        <v>17</v>
      </c>
      <c r="L7" s="3">
        <v>80000</v>
      </c>
      <c r="M7" s="3"/>
    </row>
    <row r="8" spans="11:13">
      <c r="K8" s="4" t="s">
        <v>18</v>
      </c>
      <c r="L8" s="3"/>
      <c r="M8" s="4">
        <f>M5+L7</f>
        <v>258400</v>
      </c>
    </row>
    <row r="9" spans="11:11">
      <c r="K9" s="6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:M22"/>
  <sheetViews>
    <sheetView topLeftCell="A3" workbookViewId="0">
      <selection activeCell="M8" sqref="M8"/>
    </sheetView>
  </sheetViews>
  <sheetFormatPr defaultColWidth="9" defaultRowHeight="14.4"/>
  <cols>
    <col min="11" max="11" width="47.5740740740741" customWidth="1"/>
  </cols>
  <sheetData>
    <row r="1" ht="21" spans="11:11">
      <c r="K1" s="1" t="s">
        <v>0</v>
      </c>
    </row>
    <row r="2" spans="11:13">
      <c r="K2" s="2" t="s">
        <v>19</v>
      </c>
      <c r="L2" s="2" t="s">
        <v>3</v>
      </c>
      <c r="M2" s="2" t="s">
        <v>3</v>
      </c>
    </row>
    <row r="3" spans="11:13">
      <c r="K3" s="3" t="s">
        <v>20</v>
      </c>
      <c r="L3" s="3"/>
      <c r="M3" s="3">
        <v>52000</v>
      </c>
    </row>
    <row r="4" spans="11:13">
      <c r="K4" s="4" t="s">
        <v>16</v>
      </c>
      <c r="L4" s="3"/>
      <c r="M4" s="3"/>
    </row>
    <row r="5" spans="11:13">
      <c r="K5" s="3" t="s">
        <v>21</v>
      </c>
      <c r="L5" s="3">
        <v>80000</v>
      </c>
      <c r="M5" s="3"/>
    </row>
    <row r="6" spans="11:13">
      <c r="K6" s="3" t="s">
        <v>22</v>
      </c>
      <c r="L6" s="3">
        <v>20000</v>
      </c>
      <c r="M6" s="3"/>
    </row>
    <row r="7" spans="11:13">
      <c r="K7" s="3" t="s">
        <v>23</v>
      </c>
      <c r="L7" s="3">
        <v>20000</v>
      </c>
      <c r="M7" s="3">
        <f>SUM(L5:L7)</f>
        <v>120000</v>
      </c>
    </row>
    <row r="8" spans="11:13">
      <c r="K8" s="3"/>
      <c r="L8" s="3"/>
      <c r="M8" s="4">
        <f>M3+M7</f>
        <v>172000</v>
      </c>
    </row>
    <row r="9" spans="11:13">
      <c r="K9" s="4" t="s">
        <v>24</v>
      </c>
      <c r="L9" s="3"/>
      <c r="M9" s="3"/>
    </row>
    <row r="10" spans="11:13">
      <c r="K10" s="3" t="s">
        <v>25</v>
      </c>
      <c r="L10" s="3">
        <v>4000</v>
      </c>
      <c r="M10" s="3"/>
    </row>
    <row r="11" spans="11:13">
      <c r="K11" s="3"/>
      <c r="L11" s="3"/>
      <c r="M11" s="3">
        <f>M8+L10</f>
        <v>176000</v>
      </c>
    </row>
    <row r="12" spans="11:13">
      <c r="K12" s="4" t="s">
        <v>26</v>
      </c>
      <c r="L12" s="3"/>
      <c r="M12" s="3"/>
    </row>
    <row r="13" spans="11:13">
      <c r="K13" s="3" t="s">
        <v>27</v>
      </c>
      <c r="L13" s="3">
        <v>1500</v>
      </c>
      <c r="M13" s="3"/>
    </row>
    <row r="14" spans="11:13">
      <c r="K14" s="3" t="s">
        <v>28</v>
      </c>
      <c r="L14" s="3">
        <v>8000</v>
      </c>
      <c r="M14" s="3">
        <f>L14+L13</f>
        <v>9500</v>
      </c>
    </row>
    <row r="15" spans="11:13">
      <c r="K15" s="3"/>
      <c r="L15" s="3"/>
      <c r="M15" s="3">
        <f>M11-M14</f>
        <v>166500</v>
      </c>
    </row>
    <row r="16" spans="11:13">
      <c r="K16" s="4" t="s">
        <v>29</v>
      </c>
      <c r="L16" s="3"/>
      <c r="M16" s="3"/>
    </row>
    <row r="17" spans="11:13">
      <c r="K17" s="3" t="s">
        <v>30</v>
      </c>
      <c r="L17" s="3">
        <v>1000</v>
      </c>
      <c r="M17" s="3"/>
    </row>
    <row r="18" spans="11:13">
      <c r="K18" s="3"/>
      <c r="L18" s="3"/>
      <c r="M18" s="3">
        <f>M15-L17</f>
        <v>165500</v>
      </c>
    </row>
    <row r="19" spans="11:13">
      <c r="K19" s="4" t="s">
        <v>31</v>
      </c>
      <c r="L19" s="3"/>
      <c r="M19" s="3"/>
    </row>
    <row r="20" spans="11:13">
      <c r="K20" s="3" t="s">
        <v>32</v>
      </c>
      <c r="L20" s="3">
        <v>13000</v>
      </c>
      <c r="M20" s="3"/>
    </row>
    <row r="21" spans="11:13">
      <c r="K21" s="3" t="s">
        <v>33</v>
      </c>
      <c r="L21" s="3">
        <v>1000</v>
      </c>
      <c r="M21" s="3">
        <v>14000</v>
      </c>
    </row>
    <row r="22" spans="11:13">
      <c r="K22" s="4" t="s">
        <v>14</v>
      </c>
      <c r="L22" s="3"/>
      <c r="M22" s="4">
        <f>M21+M18</f>
        <v>179500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:L29"/>
  <sheetViews>
    <sheetView tabSelected="1" workbookViewId="0">
      <selection activeCell="H22" sqref="H22"/>
    </sheetView>
  </sheetViews>
  <sheetFormatPr defaultColWidth="9" defaultRowHeight="14.4"/>
  <cols>
    <col min="10" max="10" width="58.8518518518519" customWidth="1"/>
  </cols>
  <sheetData>
    <row r="1" ht="21" spans="10:10">
      <c r="J1" s="1" t="s">
        <v>34</v>
      </c>
    </row>
    <row r="3" spans="10:12">
      <c r="J3" s="2" t="s">
        <v>1</v>
      </c>
      <c r="K3" s="2" t="s">
        <v>3</v>
      </c>
      <c r="L3" s="2" t="s">
        <v>3</v>
      </c>
    </row>
    <row r="4" spans="10:12">
      <c r="J4" s="3" t="s">
        <v>4</v>
      </c>
      <c r="K4" s="3"/>
      <c r="L4" s="3">
        <v>180000</v>
      </c>
    </row>
    <row r="5" spans="10:12">
      <c r="J5" s="4" t="s">
        <v>35</v>
      </c>
      <c r="K5" s="3"/>
      <c r="L5" s="3"/>
    </row>
    <row r="6" spans="10:12">
      <c r="J6" s="3" t="s">
        <v>36</v>
      </c>
      <c r="K6" s="3">
        <v>52000</v>
      </c>
      <c r="L6" s="3"/>
    </row>
    <row r="7" spans="10:12">
      <c r="J7" s="3" t="s">
        <v>37</v>
      </c>
      <c r="K7" s="3">
        <v>35000</v>
      </c>
      <c r="L7" s="3"/>
    </row>
    <row r="8" spans="10:12">
      <c r="J8" s="3" t="s">
        <v>38</v>
      </c>
      <c r="K8" s="3">
        <v>10000</v>
      </c>
      <c r="L8" s="3"/>
    </row>
    <row r="9" spans="10:12">
      <c r="J9" s="3" t="s">
        <v>23</v>
      </c>
      <c r="K9" s="3">
        <v>8000</v>
      </c>
      <c r="L9" s="3">
        <f>SUM(K6:K9)</f>
        <v>105000</v>
      </c>
    </row>
    <row r="10" spans="10:12">
      <c r="J10" s="4" t="s">
        <v>12</v>
      </c>
      <c r="K10" s="3"/>
      <c r="L10" s="3"/>
    </row>
    <row r="11" spans="10:12">
      <c r="J11" s="3" t="s">
        <v>39</v>
      </c>
      <c r="K11" s="3">
        <v>10000</v>
      </c>
      <c r="L11" s="3"/>
    </row>
    <row r="12" spans="10:12">
      <c r="J12" s="3" t="s">
        <v>40</v>
      </c>
      <c r="K12" s="3">
        <v>7000</v>
      </c>
      <c r="L12" s="3">
        <f>SUM(K11:K12)</f>
        <v>17000</v>
      </c>
    </row>
    <row r="13" spans="10:12">
      <c r="J13" s="3"/>
      <c r="K13" s="3"/>
      <c r="L13" s="4">
        <f>L4+L9-L12</f>
        <v>268000</v>
      </c>
    </row>
    <row r="14" spans="10:12">
      <c r="J14" s="4" t="s">
        <v>41</v>
      </c>
      <c r="K14" s="3"/>
      <c r="L14" s="3"/>
    </row>
    <row r="15" spans="10:12">
      <c r="J15" s="3" t="s">
        <v>42</v>
      </c>
      <c r="K15" s="3">
        <v>10000</v>
      </c>
      <c r="L15" s="3">
        <v>10000</v>
      </c>
    </row>
    <row r="16" spans="10:12">
      <c r="J16" s="3"/>
      <c r="K16" s="3"/>
      <c r="L16" s="3">
        <f>L13+K15</f>
        <v>278000</v>
      </c>
    </row>
    <row r="17" spans="10:12">
      <c r="J17" s="4" t="s">
        <v>43</v>
      </c>
      <c r="K17" s="3"/>
      <c r="L17" s="3"/>
    </row>
    <row r="18" spans="10:12">
      <c r="J18" s="3" t="s">
        <v>44</v>
      </c>
      <c r="K18" s="3">
        <v>1500</v>
      </c>
      <c r="L18" s="3"/>
    </row>
    <row r="19" spans="10:12">
      <c r="J19" s="3" t="s">
        <v>45</v>
      </c>
      <c r="K19" s="3">
        <v>8000</v>
      </c>
      <c r="L19" s="3"/>
    </row>
    <row r="20" spans="10:12">
      <c r="J20" s="3" t="s">
        <v>46</v>
      </c>
      <c r="K20" s="3">
        <v>9000</v>
      </c>
      <c r="L20" s="3"/>
    </row>
    <row r="21" spans="10:12">
      <c r="J21" s="3" t="s">
        <v>44</v>
      </c>
      <c r="K21" s="3">
        <v>1000</v>
      </c>
      <c r="L21" s="3">
        <f>SUM(K18:K21)</f>
        <v>19500</v>
      </c>
    </row>
    <row r="22" spans="10:12">
      <c r="J22" s="3"/>
      <c r="K22" s="3"/>
      <c r="L22" s="3">
        <f>L16-L21</f>
        <v>258500</v>
      </c>
    </row>
    <row r="23" spans="10:12">
      <c r="J23" s="4" t="s">
        <v>47</v>
      </c>
      <c r="K23" s="3"/>
      <c r="L23" s="3"/>
    </row>
    <row r="24" spans="10:12">
      <c r="J24" s="3" t="s">
        <v>48</v>
      </c>
      <c r="K24" s="3">
        <v>2000</v>
      </c>
      <c r="L24" s="3"/>
    </row>
    <row r="25" spans="10:12">
      <c r="J25" s="3"/>
      <c r="K25" s="3"/>
      <c r="L25" s="3">
        <f>L22-K24</f>
        <v>256500</v>
      </c>
    </row>
    <row r="26" spans="10:12">
      <c r="J26" s="4" t="s">
        <v>26</v>
      </c>
      <c r="K26" s="3"/>
      <c r="L26" s="3"/>
    </row>
    <row r="27" spans="10:12">
      <c r="J27" s="3" t="s">
        <v>49</v>
      </c>
      <c r="K27" s="3">
        <v>6000</v>
      </c>
      <c r="L27" s="3"/>
    </row>
    <row r="28" spans="10:12">
      <c r="J28" s="3" t="s">
        <v>50</v>
      </c>
      <c r="K28" s="3">
        <v>4000</v>
      </c>
      <c r="L28" s="3">
        <f>SUM(K27:K28)</f>
        <v>10000</v>
      </c>
    </row>
    <row r="29" spans="10:12">
      <c r="J29" s="5" t="s">
        <v>14</v>
      </c>
      <c r="K29" s="3"/>
      <c r="L29" s="4">
        <f>L25-L28</f>
        <v>246500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 3</vt:lpstr>
      <vt:lpstr>Problem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balas</cp:lastModifiedBy>
  <dcterms:created xsi:type="dcterms:W3CDTF">2023-06-24T04:12:00Z</dcterms:created>
  <dcterms:modified xsi:type="dcterms:W3CDTF">2023-06-24T07:30:42Z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480BEE7D72704FE7812CED1E8E1088E3</vt:lpwstr>
  </property>
  <property fmtid="{D5CDD505-2E9C-101B-9397-08002B2CF9AE}" pid="3" name="KSOProductBuildVer">
    <vt:lpwstr>1033-11.2.0.11537</vt:lpwstr>
  </property>
</Properties>
</file>